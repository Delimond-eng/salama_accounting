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Extrait de compte CDF" sheetId="1" r:id="rId1"/>
  </sheets>
  <definedNames>
    <definedName name="_xlnm._FilterDatabase" localSheetId="0" hidden="1">'Extrait de compte CDF'!$A$10:$G$92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3" i="1" l="1"/>
  <c r="E93" i="1"/>
</calcChain>
</file>

<file path=xl/sharedStrings.xml><?xml version="1.0" encoding="utf-8"?>
<sst xmlns="http://schemas.openxmlformats.org/spreadsheetml/2006/main" count="363" uniqueCount="150">
  <si>
    <t>EQUITYBCDC — Courants et d'épargne  •  Relevé de compte en ligne — Extrait de compte (CDF)</t>
  </si>
  <si>
    <t>Date et heure de génération</t>
  </si>
  <si>
    <t>27/07/2026 12:12:58</t>
  </si>
  <si>
    <t>Période — Solde au début</t>
  </si>
  <si>
    <t>1 685 121,09</t>
  </si>
  <si>
    <t>Généré par</t>
  </si>
  <si>
    <t>YIVAN</t>
  </si>
  <si>
    <t>Solde à la fin de la période</t>
  </si>
  <si>
    <t>746 073,16</t>
  </si>
  <si>
    <t>Compte</t>
  </si>
  <si>
    <t>010000010583601</t>
  </si>
  <si>
    <t>Crédits Totaux</t>
  </si>
  <si>
    <t>72 773 298,40</t>
  </si>
  <si>
    <t>Nom du compte</t>
  </si>
  <si>
    <t>ELECTRO COOL SARL</t>
  </si>
  <si>
    <t>Débits Totaux</t>
  </si>
  <si>
    <t>73 712 346,33</t>
  </si>
  <si>
    <t>Type de compte</t>
  </si>
  <si>
    <t>CAA</t>
  </si>
  <si>
    <t>Devise</t>
  </si>
  <si>
    <t>CDF</t>
  </si>
  <si>
    <t>Solde disponible</t>
  </si>
  <si>
    <t>719 973,16</t>
  </si>
  <si>
    <t>Période reprise</t>
  </si>
  <si>
    <t>06/01/2026 → 29/06/2026</t>
  </si>
  <si>
    <t>Date de la transaction</t>
  </si>
  <si>
    <t>Date de valeur</t>
  </si>
  <si>
    <t>Récit</t>
  </si>
  <si>
    <t>Référence de la transaction</t>
  </si>
  <si>
    <t>Débit (CDF)</t>
  </si>
  <si>
    <t>Crédit (CDF)</t>
  </si>
  <si>
    <t>Solde courant</t>
  </si>
  <si>
    <t>06-01-2026</t>
  </si>
  <si>
    <t>PMT RL483986/7300 DEC EX25 P/C ELECTRO COOL SARL</t>
  </si>
  <si>
    <t>4393512</t>
  </si>
  <si>
    <t>31-01-2026</t>
  </si>
  <si>
    <t>01-02-2026</t>
  </si>
  <si>
    <t>ACCOUNT MAINTENANCE FEE-BCDC</t>
  </si>
  <si>
    <t>436120</t>
  </si>
  <si>
    <t>TVA CHARGE</t>
  </si>
  <si>
    <t>10-02-2026</t>
  </si>
  <si>
    <t>OTN1048854 APPRO CPTE</t>
  </si>
  <si>
    <t>4342766</t>
  </si>
  <si>
    <t>12-02-2026</t>
  </si>
  <si>
    <t>VIREMENT INTERNE, ELECTRO COOL SARL</t>
  </si>
  <si>
    <t>4336847</t>
  </si>
  <si>
    <t>CDI-IPRIER-012026-ELECTRO COOL</t>
  </si>
  <si>
    <t>4354205</t>
  </si>
  <si>
    <t>FRAIS BANCAIRE IPRIER 012026 ELECTRO COOL</t>
  </si>
  <si>
    <t>TVA IPRIER 012026 ELECTRO COOL</t>
  </si>
  <si>
    <t>FRAIS BCC 39TA2026020030569 ELECTRO COOL A0714788</t>
  </si>
  <si>
    <t>ONEM IPRIER ELECTRO COOL A0714788H</t>
  </si>
  <si>
    <t>INPP IPRIER ELECTRO COOL A0714788H</t>
  </si>
  <si>
    <t>CNSS IPRIER ELECTRO COOL A0714788H</t>
  </si>
  <si>
    <t>CDI-DPE1-012026-ELECTRO COOL</t>
  </si>
  <si>
    <t>4354236</t>
  </si>
  <si>
    <t>FRAIS BANCAIRE DPE1 012026 ELECTRO COOL</t>
  </si>
  <si>
    <t>TVA DPE1 012026 ELECTRO COOL</t>
  </si>
  <si>
    <t>FRAIS BCC 40TA2026020016191 ELECTRO COOL A071478</t>
  </si>
  <si>
    <t>13-02-2026</t>
  </si>
  <si>
    <t>CDI-TVA-012026-ELECTRO COOL</t>
  </si>
  <si>
    <t>4338184</t>
  </si>
  <si>
    <t>FRAIS BANCAIRE TVA 012026 ELECTRO COOL</t>
  </si>
  <si>
    <t>TVA TVA 012026 ELECTRO COOL</t>
  </si>
  <si>
    <t>FRAIS BCC 13TA2026020297380 ELECTRO COOL A071478</t>
  </si>
  <si>
    <t>28-02-2026</t>
  </si>
  <si>
    <t>01-03-2026</t>
  </si>
  <si>
    <t>436279</t>
  </si>
  <si>
    <t>11-03-2026</t>
  </si>
  <si>
    <t>AAPRO COMPTE</t>
  </si>
  <si>
    <t>4326530</t>
  </si>
  <si>
    <t>13-03-2026</t>
  </si>
  <si>
    <t>CDI-IPRIER-022026-ELECTRO COOL</t>
  </si>
  <si>
    <t>4347993</t>
  </si>
  <si>
    <t>FRAIS BANCAIRE IPRIER 022026 ELECTRO COOL</t>
  </si>
  <si>
    <t>TVA IPRIER 022026 ELECTRO COOL</t>
  </si>
  <si>
    <t>FRAIS BCC 39TA2026030074442 ELECTRO COOL A071478</t>
  </si>
  <si>
    <t>31-03-2026</t>
  </si>
  <si>
    <t>01-04-2026</t>
  </si>
  <si>
    <t>438388</t>
  </si>
  <si>
    <t>07-04-2026</t>
  </si>
  <si>
    <t>Ac xfr from Sol 15051 to 5001</t>
  </si>
  <si>
    <t>S62935588</t>
  </si>
  <si>
    <t>11-04-2026</t>
  </si>
  <si>
    <t>CDI-AMRA-84535-042026-ELECTRO COOL</t>
  </si>
  <si>
    <t>4339252</t>
  </si>
  <si>
    <t>FRAIS BANCAIRE AMRA 042026 ELECTRO COOL</t>
  </si>
  <si>
    <t>TVA AMRA 042026 ELECTRO COOL</t>
  </si>
  <si>
    <t>FRAIS BCC 84535 ELECTRO COOL A0714788H</t>
  </si>
  <si>
    <t>13-04-2026</t>
  </si>
  <si>
    <t>OTN 1048859 APPRO COMPTE</t>
  </si>
  <si>
    <t>4353181</t>
  </si>
  <si>
    <t>CDI-DPE1-032026-ELECTRO COOL</t>
  </si>
  <si>
    <t>4373235</t>
  </si>
  <si>
    <t>FRAIS BANCAIRE DPE1 032026 ELECTRO COOL</t>
  </si>
  <si>
    <t>TVA DPE1 032026 ELECTRO COOL</t>
  </si>
  <si>
    <t>FRAIS BCC 40TA2026040053505 ELECTRO COOL A071478</t>
  </si>
  <si>
    <t>CDI-IPRIER-032026-ELECTRO COOL</t>
  </si>
  <si>
    <t>4373920</t>
  </si>
  <si>
    <t>FRAIS BANCAIRE IPRIER 032026 ELECTRO COOL</t>
  </si>
  <si>
    <t>TVA IPRIER 032026 ELECTRO COOL</t>
  </si>
  <si>
    <t>FRAIS BCC 39TA2026040009 4209 ELECTRO COOL A07147</t>
  </si>
  <si>
    <t>CDI-TVA-032026-ELECTRO COOL</t>
  </si>
  <si>
    <t>4373972</t>
  </si>
  <si>
    <t>FRAIS BANCAIRE TVA 032026 ELECTRO COOL</t>
  </si>
  <si>
    <t>TVA TVA 032026 ELECTRO COOL</t>
  </si>
  <si>
    <t>FRAIS BCC 13TA2026040354717 ELECTRO COOL A07147</t>
  </si>
  <si>
    <t>22-04-2026</t>
  </si>
  <si>
    <t>OTN1048861 APPRO COMPTE</t>
  </si>
  <si>
    <t>4348024</t>
  </si>
  <si>
    <t>23-04-2026</t>
  </si>
  <si>
    <t>CDI-AMRA-83722-022026-ELECTRO COOL SARL</t>
  </si>
  <si>
    <t>4356630</t>
  </si>
  <si>
    <t>FRAIS BANCAIRE AMRA 022026 ELECTRO COOL SARL</t>
  </si>
  <si>
    <t>TVA AMRA 022026 ELECTRO COOL SARL</t>
  </si>
  <si>
    <t>FRAIS BCC 83722 ELECTRO COOL SARL A0714788H</t>
  </si>
  <si>
    <t>30-04-2026</t>
  </si>
  <si>
    <t>01-05-2026</t>
  </si>
  <si>
    <t>434496</t>
  </si>
  <si>
    <t>30-05-2026</t>
  </si>
  <si>
    <t>31-05-2026</t>
  </si>
  <si>
    <t>S87834699</t>
  </si>
  <si>
    <t>11-06-2026</t>
  </si>
  <si>
    <t>MAIL DU 11/06/26 REF SARL/CNN/ACTS/020 PMT LOYER</t>
  </si>
  <si>
    <t>4345257</t>
  </si>
  <si>
    <t>12-06-2026</t>
  </si>
  <si>
    <t>Depot en cash, APPRO COMPTE/KIKALULU MATONDO</t>
  </si>
  <si>
    <t>4318039</t>
  </si>
  <si>
    <t>CDI-IPRIER-052026-ELECTRO COOL</t>
  </si>
  <si>
    <t>4362543</t>
  </si>
  <si>
    <t>FRAIS BANCAIRE IPRIER 052026 ELECTRO COOL</t>
  </si>
  <si>
    <t>TVA IPRIER 052026 ELECTRO COOL</t>
  </si>
  <si>
    <t>FRAIS BCC 39TA2026060132709 ELECTRO COOL A07147</t>
  </si>
  <si>
    <t>13-06-2026</t>
  </si>
  <si>
    <t>CDI-DPE1-052026-ELECTRO COOL SARL</t>
  </si>
  <si>
    <t>4328706</t>
  </si>
  <si>
    <t>FRAIS BANCAIRE DPE1 052026 ELECTRO COOL SARL</t>
  </si>
  <si>
    <t>TVA DPE1 052026 ELECTRO COOL SARL</t>
  </si>
  <si>
    <t>FRAIS BCC 40TA2026060070764 ELECTRO COOL SARL A0</t>
  </si>
  <si>
    <t>CDI-TVA-052026-ELECTRO COOL SARL</t>
  </si>
  <si>
    <t>4328925</t>
  </si>
  <si>
    <t>FRAIS BANCAIRE TVA 052026 ELECTRO COOL SARL</t>
  </si>
  <si>
    <t>TVA TVA 052026 ELECTRO COOL SARL</t>
  </si>
  <si>
    <t>FRAIS BCC 13TA2026060387511 ELECTRO COOL SARL A0</t>
  </si>
  <si>
    <t>29-06-2026</t>
  </si>
  <si>
    <t>30-06-2026</t>
  </si>
  <si>
    <t>S764168</t>
  </si>
  <si>
    <t>Total (mouvements repris)</t>
  </si>
  <si>
    <t>Contrôle : 82 mouvements repris — chaîne des soldes vérifiée en continu de l'ouverture officielle (1 685 121 09 CDF) à la clôture du 29/06 (746 073 16 CDF). Totaux calculés : Débits 73 712 346.33 / Crédits 72 773 298.40 CDF — identiques aux Débits Totaux (73 712 346 33) et Crédits Totaux (72 773 298 40) imprimés en en-tête.</t>
  </si>
  <si>
    <t>Note : la page 1, initialement manquante, a été fournie séparément et intégrée — le relevé est désormais complet (pages 1 à 13). Le raccord a été validé : le solde après la dernière opération de la page 1 (31/01, 1 420 435,26) correspond exactement au solde implicite déduit précédemment des pages 2-13. La page 2 figurait deux fois dans le PDF (même scan) — reprise une seule fois.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</si>
</sst>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i/>
      <sz val="10"/>
      <name val="Arial"/>
      <charset val="1"/>
    </font>
    <font>
      <i/>
      <sz val="8"/>
      <color rgb="FF808080"/>
      <name val="Arial"/>
      <charset val="1"/>
    </font>
    <font>
      <i/>
      <sz val="8"/>
      <color rgb="FF1F5C4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9DC3E6"/>
        <bgColor rgb="FFBFBFBF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tabSelected="1" zoomScaleNormal="100" workbookViewId="0">
      <pane ySplit="10" topLeftCell="A11" activePane="bottomLeft" state="frozen"/>
      <selection pane="bottomLeft"/>
    </sheetView>
  </sheetViews>
  <sheetFormatPr baseColWidth="10" defaultColWidth="8.6640625" defaultRowHeight="14.4" x14ac:dyDescent="0.3"/>
  <cols>
    <col min="1" max="2" width="13" customWidth="1"/>
    <col min="3" max="3" width="56" customWidth="1"/>
    <col min="4" max="4" width="15" customWidth="1"/>
    <col min="5" max="6" width="16" customWidth="1"/>
    <col min="7" max="7" width="17" customWidth="1"/>
  </cols>
  <sheetData>
    <row r="1" spans="1:7" ht="27.75" customHeight="1" x14ac:dyDescent="0.3">
      <c r="A1" s="6" t="s">
        <v>0</v>
      </c>
      <c r="B1" s="6"/>
      <c r="C1" s="6"/>
      <c r="D1" s="6"/>
      <c r="E1" s="6"/>
      <c r="F1" s="6"/>
      <c r="G1" s="6"/>
    </row>
    <row r="3" spans="1:7" x14ac:dyDescent="0.3">
      <c r="A3" s="7" t="s">
        <v>1</v>
      </c>
      <c r="B3" s="5" t="s">
        <v>2</v>
      </c>
      <c r="C3" s="5"/>
      <c r="D3" s="4" t="s">
        <v>3</v>
      </c>
      <c r="E3" s="4"/>
      <c r="F3" s="5" t="s">
        <v>4</v>
      </c>
      <c r="G3" s="5"/>
    </row>
    <row r="4" spans="1:7" x14ac:dyDescent="0.3">
      <c r="A4" s="7" t="s">
        <v>5</v>
      </c>
      <c r="B4" s="5" t="s">
        <v>6</v>
      </c>
      <c r="C4" s="5"/>
      <c r="D4" s="4" t="s">
        <v>7</v>
      </c>
      <c r="E4" s="4"/>
      <c r="F4" s="5" t="s">
        <v>8</v>
      </c>
      <c r="G4" s="5"/>
    </row>
    <row r="5" spans="1:7" x14ac:dyDescent="0.3">
      <c r="A5" s="7" t="s">
        <v>9</v>
      </c>
      <c r="B5" s="5" t="s">
        <v>10</v>
      </c>
      <c r="C5" s="5"/>
      <c r="D5" s="4" t="s">
        <v>11</v>
      </c>
      <c r="E5" s="4"/>
      <c r="F5" s="5" t="s">
        <v>12</v>
      </c>
      <c r="G5" s="5"/>
    </row>
    <row r="6" spans="1:7" x14ac:dyDescent="0.3">
      <c r="A6" s="7" t="s">
        <v>13</v>
      </c>
      <c r="B6" s="5" t="s">
        <v>14</v>
      </c>
      <c r="C6" s="5"/>
      <c r="D6" s="4" t="s">
        <v>15</v>
      </c>
      <c r="E6" s="4"/>
      <c r="F6" s="5" t="s">
        <v>16</v>
      </c>
      <c r="G6" s="5"/>
    </row>
    <row r="7" spans="1:7" x14ac:dyDescent="0.3">
      <c r="A7" s="7" t="s">
        <v>17</v>
      </c>
      <c r="B7" s="5" t="s">
        <v>18</v>
      </c>
      <c r="C7" s="5"/>
      <c r="D7" s="4" t="s">
        <v>19</v>
      </c>
      <c r="E7" s="4"/>
      <c r="F7" s="5" t="s">
        <v>20</v>
      </c>
      <c r="G7" s="5"/>
    </row>
    <row r="8" spans="1:7" x14ac:dyDescent="0.3">
      <c r="A8" s="7" t="s">
        <v>21</v>
      </c>
      <c r="B8" s="5" t="s">
        <v>22</v>
      </c>
      <c r="C8" s="5"/>
      <c r="D8" s="4" t="s">
        <v>23</v>
      </c>
      <c r="E8" s="4"/>
      <c r="F8" s="5" t="s">
        <v>24</v>
      </c>
      <c r="G8" s="5"/>
    </row>
    <row r="10" spans="1:7" ht="30" customHeight="1" x14ac:dyDescent="0.3">
      <c r="A10" s="8" t="s">
        <v>25</v>
      </c>
      <c r="B10" s="8" t="s">
        <v>26</v>
      </c>
      <c r="C10" s="8" t="s">
        <v>27</v>
      </c>
      <c r="D10" s="8" t="s">
        <v>28</v>
      </c>
      <c r="E10" s="8" t="s">
        <v>29</v>
      </c>
      <c r="F10" s="8" t="s">
        <v>30</v>
      </c>
      <c r="G10" s="8" t="s">
        <v>31</v>
      </c>
    </row>
    <row r="11" spans="1:7" ht="15" customHeight="1" x14ac:dyDescent="0.3">
      <c r="A11" s="9" t="s">
        <v>32</v>
      </c>
      <c r="B11" s="9" t="s">
        <v>32</v>
      </c>
      <c r="C11" s="10" t="s">
        <v>33</v>
      </c>
      <c r="D11" s="11" t="s">
        <v>34</v>
      </c>
      <c r="E11" s="12">
        <v>231045.83</v>
      </c>
      <c r="F11" s="12"/>
      <c r="G11" s="13">
        <v>1454075.26</v>
      </c>
    </row>
    <row r="12" spans="1:7" ht="15" customHeight="1" x14ac:dyDescent="0.3">
      <c r="A12" s="9" t="s">
        <v>35</v>
      </c>
      <c r="B12" s="9" t="s">
        <v>36</v>
      </c>
      <c r="C12" s="10" t="s">
        <v>37</v>
      </c>
      <c r="D12" s="11" t="s">
        <v>38</v>
      </c>
      <c r="E12" s="12">
        <v>29000</v>
      </c>
      <c r="F12" s="12"/>
      <c r="G12" s="13">
        <v>1425075.26</v>
      </c>
    </row>
    <row r="13" spans="1:7" ht="15" customHeight="1" x14ac:dyDescent="0.3">
      <c r="A13" s="9" t="s">
        <v>35</v>
      </c>
      <c r="B13" s="9" t="s">
        <v>36</v>
      </c>
      <c r="C13" s="10" t="s">
        <v>39</v>
      </c>
      <c r="D13" s="11" t="s">
        <v>38</v>
      </c>
      <c r="E13" s="12">
        <v>4640</v>
      </c>
      <c r="F13" s="12"/>
      <c r="G13" s="13">
        <v>1420435.26</v>
      </c>
    </row>
    <row r="14" spans="1:7" ht="15" customHeight="1" x14ac:dyDescent="0.3">
      <c r="A14" s="9" t="s">
        <v>40</v>
      </c>
      <c r="B14" s="9" t="s">
        <v>40</v>
      </c>
      <c r="C14" s="10" t="s">
        <v>41</v>
      </c>
      <c r="D14" s="11" t="s">
        <v>42</v>
      </c>
      <c r="E14" s="12"/>
      <c r="F14" s="12">
        <v>6882000</v>
      </c>
      <c r="G14" s="13">
        <v>8302435.2599999998</v>
      </c>
    </row>
    <row r="15" spans="1:7" ht="15" customHeight="1" x14ac:dyDescent="0.3">
      <c r="A15" s="9" t="s">
        <v>43</v>
      </c>
      <c r="B15" s="9" t="s">
        <v>43</v>
      </c>
      <c r="C15" s="10" t="s">
        <v>44</v>
      </c>
      <c r="D15" s="11" t="s">
        <v>45</v>
      </c>
      <c r="E15" s="12"/>
      <c r="F15" s="12">
        <v>2220000</v>
      </c>
      <c r="G15" s="13">
        <v>10522435.26</v>
      </c>
    </row>
    <row r="16" spans="1:7" ht="15" customHeight="1" x14ac:dyDescent="0.3">
      <c r="A16" s="9" t="s">
        <v>43</v>
      </c>
      <c r="B16" s="9" t="s">
        <v>43</v>
      </c>
      <c r="C16" s="10" t="s">
        <v>46</v>
      </c>
      <c r="D16" s="11" t="s">
        <v>47</v>
      </c>
      <c r="E16" s="12">
        <v>2801426.03</v>
      </c>
      <c r="F16" s="12"/>
      <c r="G16" s="13">
        <v>7721009.2300000004</v>
      </c>
    </row>
    <row r="17" spans="1:7" ht="15" customHeight="1" x14ac:dyDescent="0.3">
      <c r="A17" s="9" t="s">
        <v>43</v>
      </c>
      <c r="B17" s="9" t="s">
        <v>43</v>
      </c>
      <c r="C17" s="10" t="s">
        <v>48</v>
      </c>
      <c r="D17" s="11" t="s">
        <v>47</v>
      </c>
      <c r="E17" s="12">
        <v>21000</v>
      </c>
      <c r="F17" s="12"/>
      <c r="G17" s="13">
        <v>7700009.2300000004</v>
      </c>
    </row>
    <row r="18" spans="1:7" ht="15" customHeight="1" x14ac:dyDescent="0.3">
      <c r="A18" s="9" t="s">
        <v>43</v>
      </c>
      <c r="B18" s="9" t="s">
        <v>43</v>
      </c>
      <c r="C18" s="10" t="s">
        <v>49</v>
      </c>
      <c r="D18" s="11" t="s">
        <v>47</v>
      </c>
      <c r="E18" s="12">
        <v>3360</v>
      </c>
      <c r="F18" s="12"/>
      <c r="G18" s="13">
        <v>7696649.2300000004</v>
      </c>
    </row>
    <row r="19" spans="1:7" ht="15" customHeight="1" x14ac:dyDescent="0.3">
      <c r="A19" s="9" t="s">
        <v>43</v>
      </c>
      <c r="B19" s="9" t="s">
        <v>43</v>
      </c>
      <c r="C19" s="10" t="s">
        <v>50</v>
      </c>
      <c r="D19" s="11" t="s">
        <v>47</v>
      </c>
      <c r="E19" s="12">
        <v>1400.71</v>
      </c>
      <c r="F19" s="12"/>
      <c r="G19" s="13">
        <v>7695248.5199999996</v>
      </c>
    </row>
    <row r="20" spans="1:7" ht="15" customHeight="1" x14ac:dyDescent="0.3">
      <c r="A20" s="9" t="s">
        <v>43</v>
      </c>
      <c r="B20" s="9" t="s">
        <v>43</v>
      </c>
      <c r="C20" s="10" t="s">
        <v>51</v>
      </c>
      <c r="D20" s="11" t="s">
        <v>47</v>
      </c>
      <c r="E20" s="12">
        <v>98295.65</v>
      </c>
      <c r="F20" s="12"/>
      <c r="G20" s="13">
        <v>7596952.8700000001</v>
      </c>
    </row>
    <row r="21" spans="1:7" ht="15" customHeight="1" x14ac:dyDescent="0.3">
      <c r="A21" s="9" t="s">
        <v>43</v>
      </c>
      <c r="B21" s="9" t="s">
        <v>43</v>
      </c>
      <c r="C21" s="10" t="s">
        <v>52</v>
      </c>
      <c r="D21" s="11" t="s">
        <v>47</v>
      </c>
      <c r="E21" s="12">
        <v>688069.55</v>
      </c>
      <c r="F21" s="12"/>
      <c r="G21" s="13">
        <v>6908883.3200000003</v>
      </c>
    </row>
    <row r="22" spans="1:7" ht="15" customHeight="1" x14ac:dyDescent="0.3">
      <c r="A22" s="9" t="s">
        <v>43</v>
      </c>
      <c r="B22" s="9" t="s">
        <v>43</v>
      </c>
      <c r="C22" s="10" t="s">
        <v>53</v>
      </c>
      <c r="D22" s="11" t="s">
        <v>47</v>
      </c>
      <c r="E22" s="12">
        <v>3538643.4</v>
      </c>
      <c r="F22" s="12"/>
      <c r="G22" s="13">
        <v>3370239.92</v>
      </c>
    </row>
    <row r="23" spans="1:7" ht="15" customHeight="1" x14ac:dyDescent="0.3">
      <c r="A23" s="9" t="s">
        <v>43</v>
      </c>
      <c r="B23" s="9" t="s">
        <v>43</v>
      </c>
      <c r="C23" s="10" t="s">
        <v>54</v>
      </c>
      <c r="D23" s="11" t="s">
        <v>55</v>
      </c>
      <c r="E23" s="12">
        <v>712500</v>
      </c>
      <c r="F23" s="12"/>
      <c r="G23" s="13">
        <v>2657739.92</v>
      </c>
    </row>
    <row r="24" spans="1:7" ht="15" customHeight="1" x14ac:dyDescent="0.3">
      <c r="A24" s="9" t="s">
        <v>43</v>
      </c>
      <c r="B24" s="9" t="s">
        <v>43</v>
      </c>
      <c r="C24" s="10" t="s">
        <v>56</v>
      </c>
      <c r="D24" s="11" t="s">
        <v>55</v>
      </c>
      <c r="E24" s="12">
        <v>10900</v>
      </c>
      <c r="F24" s="12"/>
      <c r="G24" s="13">
        <v>2646839.92</v>
      </c>
    </row>
    <row r="25" spans="1:7" ht="15" customHeight="1" x14ac:dyDescent="0.3">
      <c r="A25" s="9" t="s">
        <v>43</v>
      </c>
      <c r="B25" s="9" t="s">
        <v>43</v>
      </c>
      <c r="C25" s="10" t="s">
        <v>57</v>
      </c>
      <c r="D25" s="11" t="s">
        <v>55</v>
      </c>
      <c r="E25" s="12">
        <v>1744</v>
      </c>
      <c r="F25" s="12"/>
      <c r="G25" s="13">
        <v>2645095.92</v>
      </c>
    </row>
    <row r="26" spans="1:7" ht="15" customHeight="1" x14ac:dyDescent="0.3">
      <c r="A26" s="9" t="s">
        <v>43</v>
      </c>
      <c r="B26" s="9" t="s">
        <v>43</v>
      </c>
      <c r="C26" s="10" t="s">
        <v>58</v>
      </c>
      <c r="D26" s="11" t="s">
        <v>55</v>
      </c>
      <c r="E26" s="12">
        <v>356.25</v>
      </c>
      <c r="F26" s="12"/>
      <c r="G26" s="13">
        <v>2644739.67</v>
      </c>
    </row>
    <row r="27" spans="1:7" ht="15" customHeight="1" x14ac:dyDescent="0.3">
      <c r="A27" s="9" t="s">
        <v>59</v>
      </c>
      <c r="B27" s="9" t="s">
        <v>59</v>
      </c>
      <c r="C27" s="10" t="s">
        <v>60</v>
      </c>
      <c r="D27" s="11" t="s">
        <v>61</v>
      </c>
      <c r="E27" s="12">
        <v>899170.03</v>
      </c>
      <c r="F27" s="12"/>
      <c r="G27" s="13">
        <v>1745569.64</v>
      </c>
    </row>
    <row r="28" spans="1:7" ht="15" customHeight="1" x14ac:dyDescent="0.3">
      <c r="A28" s="9" t="s">
        <v>59</v>
      </c>
      <c r="B28" s="9" t="s">
        <v>59</v>
      </c>
      <c r="C28" s="10" t="s">
        <v>62</v>
      </c>
      <c r="D28" s="11" t="s">
        <v>61</v>
      </c>
      <c r="E28" s="12">
        <v>10900</v>
      </c>
      <c r="F28" s="12"/>
      <c r="G28" s="13">
        <v>1734669.64</v>
      </c>
    </row>
    <row r="29" spans="1:7" ht="15" customHeight="1" x14ac:dyDescent="0.3">
      <c r="A29" s="9" t="s">
        <v>59</v>
      </c>
      <c r="B29" s="9" t="s">
        <v>59</v>
      </c>
      <c r="C29" s="10" t="s">
        <v>63</v>
      </c>
      <c r="D29" s="11" t="s">
        <v>61</v>
      </c>
      <c r="E29" s="12">
        <v>1744</v>
      </c>
      <c r="F29" s="12"/>
      <c r="G29" s="13">
        <v>1732925.64</v>
      </c>
    </row>
    <row r="30" spans="1:7" ht="15" customHeight="1" x14ac:dyDescent="0.3">
      <c r="A30" s="9" t="s">
        <v>59</v>
      </c>
      <c r="B30" s="9" t="s">
        <v>59</v>
      </c>
      <c r="C30" s="10" t="s">
        <v>64</v>
      </c>
      <c r="D30" s="11" t="s">
        <v>61</v>
      </c>
      <c r="E30" s="12">
        <v>449.59</v>
      </c>
      <c r="F30" s="12"/>
      <c r="G30" s="13">
        <v>1732476.05</v>
      </c>
    </row>
    <row r="31" spans="1:7" ht="15" customHeight="1" x14ac:dyDescent="0.3">
      <c r="A31" s="9" t="s">
        <v>65</v>
      </c>
      <c r="B31" s="9" t="s">
        <v>66</v>
      </c>
      <c r="C31" s="10" t="s">
        <v>37</v>
      </c>
      <c r="D31" s="11" t="s">
        <v>67</v>
      </c>
      <c r="E31" s="12">
        <v>29000</v>
      </c>
      <c r="F31" s="12"/>
      <c r="G31" s="13">
        <v>1703476.05</v>
      </c>
    </row>
    <row r="32" spans="1:7" ht="15" customHeight="1" x14ac:dyDescent="0.3">
      <c r="A32" s="9" t="s">
        <v>65</v>
      </c>
      <c r="B32" s="9" t="s">
        <v>66</v>
      </c>
      <c r="C32" s="10" t="s">
        <v>39</v>
      </c>
      <c r="D32" s="11" t="s">
        <v>67</v>
      </c>
      <c r="E32" s="12">
        <v>4640</v>
      </c>
      <c r="F32" s="12"/>
      <c r="G32" s="13">
        <v>1698836.05</v>
      </c>
    </row>
    <row r="33" spans="1:7" ht="15" customHeight="1" x14ac:dyDescent="0.3">
      <c r="A33" s="9" t="s">
        <v>68</v>
      </c>
      <c r="B33" s="9" t="s">
        <v>68</v>
      </c>
      <c r="C33" s="10" t="s">
        <v>69</v>
      </c>
      <c r="D33" s="11" t="s">
        <v>70</v>
      </c>
      <c r="E33" s="12"/>
      <c r="F33" s="12">
        <v>7455000</v>
      </c>
      <c r="G33" s="13">
        <v>9153836.0500000007</v>
      </c>
    </row>
    <row r="34" spans="1:7" ht="15" customHeight="1" x14ac:dyDescent="0.3">
      <c r="A34" s="9" t="s">
        <v>71</v>
      </c>
      <c r="B34" s="9" t="s">
        <v>71</v>
      </c>
      <c r="C34" s="10" t="s">
        <v>72</v>
      </c>
      <c r="D34" s="11" t="s">
        <v>73</v>
      </c>
      <c r="E34" s="12">
        <v>2776548.38</v>
      </c>
      <c r="F34" s="12"/>
      <c r="G34" s="13">
        <v>6377287.6699999999</v>
      </c>
    </row>
    <row r="35" spans="1:7" ht="15" customHeight="1" x14ac:dyDescent="0.3">
      <c r="A35" s="9" t="s">
        <v>71</v>
      </c>
      <c r="B35" s="9" t="s">
        <v>71</v>
      </c>
      <c r="C35" s="10" t="s">
        <v>74</v>
      </c>
      <c r="D35" s="11" t="s">
        <v>73</v>
      </c>
      <c r="E35" s="12">
        <v>21000</v>
      </c>
      <c r="F35" s="12"/>
      <c r="G35" s="13">
        <v>6356287.6699999999</v>
      </c>
    </row>
    <row r="36" spans="1:7" ht="15" customHeight="1" x14ac:dyDescent="0.3">
      <c r="A36" s="9" t="s">
        <v>71</v>
      </c>
      <c r="B36" s="9" t="s">
        <v>71</v>
      </c>
      <c r="C36" s="10" t="s">
        <v>75</v>
      </c>
      <c r="D36" s="11" t="s">
        <v>73</v>
      </c>
      <c r="E36" s="12">
        <v>3360</v>
      </c>
      <c r="F36" s="12"/>
      <c r="G36" s="13">
        <v>6352927.6699999999</v>
      </c>
    </row>
    <row r="37" spans="1:7" ht="15" customHeight="1" x14ac:dyDescent="0.3">
      <c r="A37" s="9" t="s">
        <v>71</v>
      </c>
      <c r="B37" s="9" t="s">
        <v>71</v>
      </c>
      <c r="C37" s="10" t="s">
        <v>76</v>
      </c>
      <c r="D37" s="11" t="s">
        <v>73</v>
      </c>
      <c r="E37" s="12">
        <v>1388.27</v>
      </c>
      <c r="F37" s="12"/>
      <c r="G37" s="13">
        <v>6351539.4000000004</v>
      </c>
    </row>
    <row r="38" spans="1:7" ht="15" customHeight="1" x14ac:dyDescent="0.3">
      <c r="A38" s="9" t="s">
        <v>71</v>
      </c>
      <c r="B38" s="9" t="s">
        <v>71</v>
      </c>
      <c r="C38" s="10" t="s">
        <v>51</v>
      </c>
      <c r="D38" s="11" t="s">
        <v>73</v>
      </c>
      <c r="E38" s="12">
        <v>97422.75</v>
      </c>
      <c r="F38" s="12"/>
      <c r="G38" s="13">
        <v>6254116.6500000004</v>
      </c>
    </row>
    <row r="39" spans="1:7" ht="15" customHeight="1" x14ac:dyDescent="0.3">
      <c r="A39" s="9" t="s">
        <v>71</v>
      </c>
      <c r="B39" s="9" t="s">
        <v>71</v>
      </c>
      <c r="C39" s="10" t="s">
        <v>52</v>
      </c>
      <c r="D39" s="11" t="s">
        <v>73</v>
      </c>
      <c r="E39" s="12">
        <v>681959.25</v>
      </c>
      <c r="F39" s="12"/>
      <c r="G39" s="13">
        <v>5572157.4000000004</v>
      </c>
    </row>
    <row r="40" spans="1:7" ht="15" customHeight="1" x14ac:dyDescent="0.3">
      <c r="A40" s="9" t="s">
        <v>71</v>
      </c>
      <c r="B40" s="9" t="s">
        <v>71</v>
      </c>
      <c r="C40" s="10" t="s">
        <v>53</v>
      </c>
      <c r="D40" s="11" t="s">
        <v>73</v>
      </c>
      <c r="E40" s="12">
        <v>3507219</v>
      </c>
      <c r="F40" s="12"/>
      <c r="G40" s="13">
        <v>2064938.4</v>
      </c>
    </row>
    <row r="41" spans="1:7" ht="15" customHeight="1" x14ac:dyDescent="0.3">
      <c r="A41" s="9" t="s">
        <v>77</v>
      </c>
      <c r="B41" s="9" t="s">
        <v>78</v>
      </c>
      <c r="C41" s="10" t="s">
        <v>37</v>
      </c>
      <c r="D41" s="11" t="s">
        <v>79</v>
      </c>
      <c r="E41" s="12">
        <v>29000</v>
      </c>
      <c r="F41" s="12"/>
      <c r="G41" s="13">
        <v>2035938.4</v>
      </c>
    </row>
    <row r="42" spans="1:7" ht="15" customHeight="1" x14ac:dyDescent="0.3">
      <c r="A42" s="9" t="s">
        <v>77</v>
      </c>
      <c r="B42" s="9" t="s">
        <v>78</v>
      </c>
      <c r="C42" s="10" t="s">
        <v>39</v>
      </c>
      <c r="D42" s="11" t="s">
        <v>79</v>
      </c>
      <c r="E42" s="12">
        <v>4640</v>
      </c>
      <c r="F42" s="12"/>
      <c r="G42" s="13">
        <v>2031298.4</v>
      </c>
    </row>
    <row r="43" spans="1:7" ht="15" customHeight="1" x14ac:dyDescent="0.3">
      <c r="A43" s="9" t="s">
        <v>80</v>
      </c>
      <c r="B43" s="9" t="s">
        <v>80</v>
      </c>
      <c r="C43" s="10" t="s">
        <v>81</v>
      </c>
      <c r="D43" s="11" t="s">
        <v>82</v>
      </c>
      <c r="E43" s="12">
        <v>2031298.4</v>
      </c>
      <c r="F43" s="12"/>
      <c r="G43" s="13">
        <v>0</v>
      </c>
    </row>
    <row r="44" spans="1:7" ht="15" customHeight="1" x14ac:dyDescent="0.3">
      <c r="A44" s="9" t="s">
        <v>80</v>
      </c>
      <c r="B44" s="9" t="s">
        <v>80</v>
      </c>
      <c r="C44" s="10" t="s">
        <v>81</v>
      </c>
      <c r="D44" s="11" t="s">
        <v>82</v>
      </c>
      <c r="E44" s="12"/>
      <c r="F44" s="12">
        <v>2031298.4</v>
      </c>
      <c r="G44" s="13">
        <v>2031298.4</v>
      </c>
    </row>
    <row r="45" spans="1:7" ht="15" customHeight="1" x14ac:dyDescent="0.3">
      <c r="A45" s="9" t="s">
        <v>83</v>
      </c>
      <c r="B45" s="9" t="s">
        <v>83</v>
      </c>
      <c r="C45" s="10" t="s">
        <v>84</v>
      </c>
      <c r="D45" s="11" t="s">
        <v>85</v>
      </c>
      <c r="E45" s="12">
        <v>57545</v>
      </c>
      <c r="F45" s="12"/>
      <c r="G45" s="13">
        <v>1973753.4</v>
      </c>
    </row>
    <row r="46" spans="1:7" ht="15" customHeight="1" x14ac:dyDescent="0.3">
      <c r="A46" s="9" t="s">
        <v>83</v>
      </c>
      <c r="B46" s="9" t="s">
        <v>83</v>
      </c>
      <c r="C46" s="10" t="s">
        <v>86</v>
      </c>
      <c r="D46" s="11" t="s">
        <v>85</v>
      </c>
      <c r="E46" s="12">
        <v>10900</v>
      </c>
      <c r="F46" s="12"/>
      <c r="G46" s="13">
        <v>1962853.4</v>
      </c>
    </row>
    <row r="47" spans="1:7" ht="15" customHeight="1" x14ac:dyDescent="0.3">
      <c r="A47" s="9" t="s">
        <v>83</v>
      </c>
      <c r="B47" s="9" t="s">
        <v>83</v>
      </c>
      <c r="C47" s="10" t="s">
        <v>87</v>
      </c>
      <c r="D47" s="11" t="s">
        <v>85</v>
      </c>
      <c r="E47" s="12">
        <v>1744</v>
      </c>
      <c r="F47" s="12"/>
      <c r="G47" s="13">
        <v>1961109.4</v>
      </c>
    </row>
    <row r="48" spans="1:7" ht="15" customHeight="1" x14ac:dyDescent="0.3">
      <c r="A48" s="9" t="s">
        <v>83</v>
      </c>
      <c r="B48" s="9" t="s">
        <v>83</v>
      </c>
      <c r="C48" s="10" t="s">
        <v>88</v>
      </c>
      <c r="D48" s="11" t="s">
        <v>85</v>
      </c>
      <c r="E48" s="12">
        <v>28.77</v>
      </c>
      <c r="F48" s="12"/>
      <c r="G48" s="13">
        <v>1961080.63</v>
      </c>
    </row>
    <row r="49" spans="1:7" ht="15" customHeight="1" x14ac:dyDescent="0.3">
      <c r="A49" s="9" t="s">
        <v>89</v>
      </c>
      <c r="B49" s="9" t="s">
        <v>89</v>
      </c>
      <c r="C49" s="10" t="s">
        <v>90</v>
      </c>
      <c r="D49" s="11" t="s">
        <v>91</v>
      </c>
      <c r="E49" s="12"/>
      <c r="F49" s="12">
        <v>23625000</v>
      </c>
      <c r="G49" s="13">
        <v>25586080.629999999</v>
      </c>
    </row>
    <row r="50" spans="1:7" ht="15" customHeight="1" x14ac:dyDescent="0.3">
      <c r="A50" s="9" t="s">
        <v>89</v>
      </c>
      <c r="B50" s="9" t="s">
        <v>89</v>
      </c>
      <c r="C50" s="10" t="s">
        <v>92</v>
      </c>
      <c r="D50" s="11" t="s">
        <v>93</v>
      </c>
      <c r="E50" s="12">
        <v>712500</v>
      </c>
      <c r="F50" s="12"/>
      <c r="G50" s="13">
        <v>24873580.629999999</v>
      </c>
    </row>
    <row r="51" spans="1:7" ht="15" customHeight="1" x14ac:dyDescent="0.3">
      <c r="A51" s="9" t="s">
        <v>89</v>
      </c>
      <c r="B51" s="9" t="s">
        <v>89</v>
      </c>
      <c r="C51" s="10" t="s">
        <v>94</v>
      </c>
      <c r="D51" s="11" t="s">
        <v>93</v>
      </c>
      <c r="E51" s="12">
        <v>10900</v>
      </c>
      <c r="F51" s="12"/>
      <c r="G51" s="13">
        <v>24862680.629999999</v>
      </c>
    </row>
    <row r="52" spans="1:7" ht="15" customHeight="1" x14ac:dyDescent="0.3">
      <c r="A52" s="9" t="s">
        <v>89</v>
      </c>
      <c r="B52" s="9" t="s">
        <v>89</v>
      </c>
      <c r="C52" s="10" t="s">
        <v>95</v>
      </c>
      <c r="D52" s="11" t="s">
        <v>93</v>
      </c>
      <c r="E52" s="12">
        <v>1744</v>
      </c>
      <c r="F52" s="12"/>
      <c r="G52" s="13">
        <v>24860936.629999999</v>
      </c>
    </row>
    <row r="53" spans="1:7" ht="15" customHeight="1" x14ac:dyDescent="0.3">
      <c r="A53" s="9" t="s">
        <v>89</v>
      </c>
      <c r="B53" s="9" t="s">
        <v>89</v>
      </c>
      <c r="C53" s="10" t="s">
        <v>96</v>
      </c>
      <c r="D53" s="11" t="s">
        <v>93</v>
      </c>
      <c r="E53" s="12">
        <v>356.25</v>
      </c>
      <c r="F53" s="12"/>
      <c r="G53" s="13">
        <v>24860580.379999999</v>
      </c>
    </row>
    <row r="54" spans="1:7" ht="15" customHeight="1" x14ac:dyDescent="0.3">
      <c r="A54" s="9" t="s">
        <v>89</v>
      </c>
      <c r="B54" s="9" t="s">
        <v>89</v>
      </c>
      <c r="C54" s="10" t="s">
        <v>97</v>
      </c>
      <c r="D54" s="11" t="s">
        <v>98</v>
      </c>
      <c r="E54" s="12">
        <v>2524034.1</v>
      </c>
      <c r="F54" s="12"/>
      <c r="G54" s="13">
        <v>22336546.280000001</v>
      </c>
    </row>
    <row r="55" spans="1:7" ht="15" customHeight="1" x14ac:dyDescent="0.3">
      <c r="A55" s="9" t="s">
        <v>89</v>
      </c>
      <c r="B55" s="9" t="s">
        <v>89</v>
      </c>
      <c r="C55" s="10" t="s">
        <v>99</v>
      </c>
      <c r="D55" s="11" t="s">
        <v>98</v>
      </c>
      <c r="E55" s="12">
        <v>21000</v>
      </c>
      <c r="F55" s="12"/>
      <c r="G55" s="13">
        <v>22315546.280000001</v>
      </c>
    </row>
    <row r="56" spans="1:7" ht="15" customHeight="1" x14ac:dyDescent="0.3">
      <c r="A56" s="9" t="s">
        <v>89</v>
      </c>
      <c r="B56" s="9" t="s">
        <v>89</v>
      </c>
      <c r="C56" s="10" t="s">
        <v>100</v>
      </c>
      <c r="D56" s="11" t="s">
        <v>98</v>
      </c>
      <c r="E56" s="12">
        <v>3360</v>
      </c>
      <c r="F56" s="12"/>
      <c r="G56" s="13">
        <v>22312186.280000001</v>
      </c>
    </row>
    <row r="57" spans="1:7" ht="15" customHeight="1" x14ac:dyDescent="0.3">
      <c r="A57" s="9" t="s">
        <v>89</v>
      </c>
      <c r="B57" s="9" t="s">
        <v>89</v>
      </c>
      <c r="C57" s="10" t="s">
        <v>101</v>
      </c>
      <c r="D57" s="11" t="s">
        <v>98</v>
      </c>
      <c r="E57" s="12">
        <v>1262.02</v>
      </c>
      <c r="F57" s="12"/>
      <c r="G57" s="13">
        <v>22310924.260000002</v>
      </c>
    </row>
    <row r="58" spans="1:7" ht="15" customHeight="1" x14ac:dyDescent="0.3">
      <c r="A58" s="9" t="s">
        <v>89</v>
      </c>
      <c r="B58" s="9" t="s">
        <v>89</v>
      </c>
      <c r="C58" s="10" t="s">
        <v>51</v>
      </c>
      <c r="D58" s="11" t="s">
        <v>98</v>
      </c>
      <c r="E58" s="12">
        <v>88562.6</v>
      </c>
      <c r="F58" s="12"/>
      <c r="G58" s="13">
        <v>22222361.66</v>
      </c>
    </row>
    <row r="59" spans="1:7" ht="15" customHeight="1" x14ac:dyDescent="0.3">
      <c r="A59" s="9" t="s">
        <v>89</v>
      </c>
      <c r="B59" s="9" t="s">
        <v>89</v>
      </c>
      <c r="C59" s="10" t="s">
        <v>52</v>
      </c>
      <c r="D59" s="11" t="s">
        <v>98</v>
      </c>
      <c r="E59" s="12">
        <v>619938.19999999995</v>
      </c>
      <c r="F59" s="12"/>
      <c r="G59" s="13">
        <v>21602423.460000001</v>
      </c>
    </row>
    <row r="60" spans="1:7" ht="15" customHeight="1" x14ac:dyDescent="0.3">
      <c r="A60" s="9" t="s">
        <v>89</v>
      </c>
      <c r="B60" s="9" t="s">
        <v>89</v>
      </c>
      <c r="C60" s="10" t="s">
        <v>53</v>
      </c>
      <c r="D60" s="11" t="s">
        <v>98</v>
      </c>
      <c r="E60" s="12">
        <v>3188253.6</v>
      </c>
      <c r="F60" s="12"/>
      <c r="G60" s="13">
        <v>18414169.859999999</v>
      </c>
    </row>
    <row r="61" spans="1:7" ht="15" customHeight="1" x14ac:dyDescent="0.3">
      <c r="A61" s="9" t="s">
        <v>89</v>
      </c>
      <c r="B61" s="9" t="s">
        <v>89</v>
      </c>
      <c r="C61" s="10" t="s">
        <v>102</v>
      </c>
      <c r="D61" s="11" t="s">
        <v>103</v>
      </c>
      <c r="E61" s="12">
        <v>14091634.1</v>
      </c>
      <c r="F61" s="12"/>
      <c r="G61" s="13">
        <v>4322535.76</v>
      </c>
    </row>
    <row r="62" spans="1:7" ht="15" customHeight="1" x14ac:dyDescent="0.3">
      <c r="A62" s="9" t="s">
        <v>89</v>
      </c>
      <c r="B62" s="9" t="s">
        <v>89</v>
      </c>
      <c r="C62" s="10" t="s">
        <v>104</v>
      </c>
      <c r="D62" s="11" t="s">
        <v>103</v>
      </c>
      <c r="E62" s="12">
        <v>10900</v>
      </c>
      <c r="F62" s="12"/>
      <c r="G62" s="13">
        <v>4311635.76</v>
      </c>
    </row>
    <row r="63" spans="1:7" ht="15" customHeight="1" x14ac:dyDescent="0.3">
      <c r="A63" s="9" t="s">
        <v>89</v>
      </c>
      <c r="B63" s="9" t="s">
        <v>89</v>
      </c>
      <c r="C63" s="10" t="s">
        <v>105</v>
      </c>
      <c r="D63" s="11" t="s">
        <v>103</v>
      </c>
      <c r="E63" s="12">
        <v>1744</v>
      </c>
      <c r="F63" s="12"/>
      <c r="G63" s="13">
        <v>4309891.76</v>
      </c>
    </row>
    <row r="64" spans="1:7" ht="15" customHeight="1" x14ac:dyDescent="0.3">
      <c r="A64" s="9" t="s">
        <v>89</v>
      </c>
      <c r="B64" s="9" t="s">
        <v>89</v>
      </c>
      <c r="C64" s="10" t="s">
        <v>106</v>
      </c>
      <c r="D64" s="11" t="s">
        <v>103</v>
      </c>
      <c r="E64" s="12">
        <v>7045.82</v>
      </c>
      <c r="F64" s="12"/>
      <c r="G64" s="13">
        <v>4302845.9400000004</v>
      </c>
    </row>
    <row r="65" spans="1:7" ht="15" customHeight="1" x14ac:dyDescent="0.3">
      <c r="A65" s="9" t="s">
        <v>107</v>
      </c>
      <c r="B65" s="9" t="s">
        <v>107</v>
      </c>
      <c r="C65" s="10" t="s">
        <v>108</v>
      </c>
      <c r="D65" s="11" t="s">
        <v>109</v>
      </c>
      <c r="E65" s="12"/>
      <c r="F65" s="12">
        <v>14690000</v>
      </c>
      <c r="G65" s="13">
        <v>18992845.940000001</v>
      </c>
    </row>
    <row r="66" spans="1:7" ht="15" customHeight="1" x14ac:dyDescent="0.3">
      <c r="A66" s="9" t="s">
        <v>110</v>
      </c>
      <c r="B66" s="9" t="s">
        <v>110</v>
      </c>
      <c r="C66" s="10" t="s">
        <v>111</v>
      </c>
      <c r="D66" s="11" t="s">
        <v>112</v>
      </c>
      <c r="E66" s="12">
        <v>18019134.399999999</v>
      </c>
      <c r="F66" s="12"/>
      <c r="G66" s="13">
        <v>973711.54</v>
      </c>
    </row>
    <row r="67" spans="1:7" ht="15" customHeight="1" x14ac:dyDescent="0.3">
      <c r="A67" s="9" t="s">
        <v>110</v>
      </c>
      <c r="B67" s="9" t="s">
        <v>110</v>
      </c>
      <c r="C67" s="10" t="s">
        <v>113</v>
      </c>
      <c r="D67" s="11" t="s">
        <v>112</v>
      </c>
      <c r="E67" s="12">
        <v>10900</v>
      </c>
      <c r="F67" s="12"/>
      <c r="G67" s="13">
        <v>962811.54</v>
      </c>
    </row>
    <row r="68" spans="1:7" ht="15" customHeight="1" x14ac:dyDescent="0.3">
      <c r="A68" s="9" t="s">
        <v>110</v>
      </c>
      <c r="B68" s="9" t="s">
        <v>110</v>
      </c>
      <c r="C68" s="10" t="s">
        <v>114</v>
      </c>
      <c r="D68" s="11" t="s">
        <v>112</v>
      </c>
      <c r="E68" s="12">
        <v>1744</v>
      </c>
      <c r="F68" s="12"/>
      <c r="G68" s="13">
        <v>961067.54</v>
      </c>
    </row>
    <row r="69" spans="1:7" ht="15" customHeight="1" x14ac:dyDescent="0.3">
      <c r="A69" s="9" t="s">
        <v>110</v>
      </c>
      <c r="B69" s="9" t="s">
        <v>110</v>
      </c>
      <c r="C69" s="10" t="s">
        <v>115</v>
      </c>
      <c r="D69" s="11" t="s">
        <v>112</v>
      </c>
      <c r="E69" s="12">
        <v>9009.57</v>
      </c>
      <c r="F69" s="12"/>
      <c r="G69" s="13">
        <v>952057.97</v>
      </c>
    </row>
    <row r="70" spans="1:7" ht="15" customHeight="1" x14ac:dyDescent="0.3">
      <c r="A70" s="9" t="s">
        <v>116</v>
      </c>
      <c r="B70" s="9" t="s">
        <v>117</v>
      </c>
      <c r="C70" s="10" t="s">
        <v>37</v>
      </c>
      <c r="D70" s="11" t="s">
        <v>118</v>
      </c>
      <c r="E70" s="12">
        <v>29000</v>
      </c>
      <c r="F70" s="12"/>
      <c r="G70" s="13">
        <v>923057.97</v>
      </c>
    </row>
    <row r="71" spans="1:7" ht="15" customHeight="1" x14ac:dyDescent="0.3">
      <c r="A71" s="9" t="s">
        <v>116</v>
      </c>
      <c r="B71" s="9" t="s">
        <v>117</v>
      </c>
      <c r="C71" s="10" t="s">
        <v>39</v>
      </c>
      <c r="D71" s="11" t="s">
        <v>118</v>
      </c>
      <c r="E71" s="12">
        <v>4640</v>
      </c>
      <c r="F71" s="12"/>
      <c r="G71" s="13">
        <v>918417.97</v>
      </c>
    </row>
    <row r="72" spans="1:7" ht="15" customHeight="1" x14ac:dyDescent="0.3">
      <c r="A72" s="9" t="s">
        <v>119</v>
      </c>
      <c r="B72" s="9" t="s">
        <v>120</v>
      </c>
      <c r="C72" s="10" t="s">
        <v>37</v>
      </c>
      <c r="D72" s="11" t="s">
        <v>121</v>
      </c>
      <c r="E72" s="12">
        <v>23500</v>
      </c>
      <c r="F72" s="12"/>
      <c r="G72" s="13">
        <v>894917.97</v>
      </c>
    </row>
    <row r="73" spans="1:7" ht="15" customHeight="1" x14ac:dyDescent="0.3">
      <c r="A73" s="9" t="s">
        <v>119</v>
      </c>
      <c r="B73" s="9" t="s">
        <v>120</v>
      </c>
      <c r="C73" s="10" t="s">
        <v>39</v>
      </c>
      <c r="D73" s="11" t="s">
        <v>121</v>
      </c>
      <c r="E73" s="12">
        <v>3760</v>
      </c>
      <c r="F73" s="12"/>
      <c r="G73" s="13">
        <v>891157.97</v>
      </c>
    </row>
    <row r="74" spans="1:7" ht="15" customHeight="1" x14ac:dyDescent="0.3">
      <c r="A74" s="9" t="s">
        <v>122</v>
      </c>
      <c r="B74" s="9" t="s">
        <v>122</v>
      </c>
      <c r="C74" s="10" t="s">
        <v>123</v>
      </c>
      <c r="D74" s="11" t="s">
        <v>124</v>
      </c>
      <c r="E74" s="12"/>
      <c r="F74" s="12">
        <v>12375000</v>
      </c>
      <c r="G74" s="13">
        <v>13266157.970000001</v>
      </c>
    </row>
    <row r="75" spans="1:7" ht="15" customHeight="1" x14ac:dyDescent="0.3">
      <c r="A75" s="9" t="s">
        <v>125</v>
      </c>
      <c r="B75" s="9" t="s">
        <v>125</v>
      </c>
      <c r="C75" s="10" t="s">
        <v>126</v>
      </c>
      <c r="D75" s="11" t="s">
        <v>127</v>
      </c>
      <c r="E75" s="12"/>
      <c r="F75" s="12">
        <v>3495000</v>
      </c>
      <c r="G75" s="13">
        <v>16761157.970000001</v>
      </c>
    </row>
    <row r="76" spans="1:7" ht="15" customHeight="1" x14ac:dyDescent="0.3">
      <c r="A76" s="9" t="s">
        <v>125</v>
      </c>
      <c r="B76" s="9" t="s">
        <v>125</v>
      </c>
      <c r="C76" s="10" t="s">
        <v>128</v>
      </c>
      <c r="D76" s="11" t="s">
        <v>129</v>
      </c>
      <c r="E76" s="12">
        <v>2656128.75</v>
      </c>
      <c r="F76" s="12"/>
      <c r="G76" s="13">
        <v>14105029.220000001</v>
      </c>
    </row>
    <row r="77" spans="1:7" ht="15" customHeight="1" x14ac:dyDescent="0.3">
      <c r="A77" s="9" t="s">
        <v>125</v>
      </c>
      <c r="B77" s="9" t="s">
        <v>125</v>
      </c>
      <c r="C77" s="10" t="s">
        <v>130</v>
      </c>
      <c r="D77" s="11" t="s">
        <v>129</v>
      </c>
      <c r="E77" s="12">
        <v>21000</v>
      </c>
      <c r="F77" s="12"/>
      <c r="G77" s="13">
        <v>14084029.220000001</v>
      </c>
    </row>
    <row r="78" spans="1:7" ht="15" customHeight="1" x14ac:dyDescent="0.3">
      <c r="A78" s="9" t="s">
        <v>125</v>
      </c>
      <c r="B78" s="9" t="s">
        <v>125</v>
      </c>
      <c r="C78" s="10" t="s">
        <v>131</v>
      </c>
      <c r="D78" s="11" t="s">
        <v>129</v>
      </c>
      <c r="E78" s="12">
        <v>3360</v>
      </c>
      <c r="F78" s="12"/>
      <c r="G78" s="13">
        <v>14080669.220000001</v>
      </c>
    </row>
    <row r="79" spans="1:7" ht="15" customHeight="1" x14ac:dyDescent="0.3">
      <c r="A79" s="9" t="s">
        <v>125</v>
      </c>
      <c r="B79" s="9" t="s">
        <v>125</v>
      </c>
      <c r="C79" s="10" t="s">
        <v>132</v>
      </c>
      <c r="D79" s="11" t="s">
        <v>129</v>
      </c>
      <c r="E79" s="12">
        <v>1328.06</v>
      </c>
      <c r="F79" s="12"/>
      <c r="G79" s="13">
        <v>14079341.16</v>
      </c>
    </row>
    <row r="80" spans="1:7" ht="15" customHeight="1" x14ac:dyDescent="0.3">
      <c r="A80" s="9" t="s">
        <v>125</v>
      </c>
      <c r="B80" s="9" t="s">
        <v>125</v>
      </c>
      <c r="C80" s="10" t="s">
        <v>51</v>
      </c>
      <c r="D80" s="11" t="s">
        <v>129</v>
      </c>
      <c r="E80" s="12">
        <v>93197.5</v>
      </c>
      <c r="F80" s="12"/>
      <c r="G80" s="13">
        <v>13986143.66</v>
      </c>
    </row>
    <row r="81" spans="1:7" ht="15" customHeight="1" x14ac:dyDescent="0.3">
      <c r="A81" s="9" t="s">
        <v>125</v>
      </c>
      <c r="B81" s="9" t="s">
        <v>125</v>
      </c>
      <c r="C81" s="10" t="s">
        <v>52</v>
      </c>
      <c r="D81" s="11" t="s">
        <v>129</v>
      </c>
      <c r="E81" s="12">
        <v>652382.5</v>
      </c>
      <c r="F81" s="12"/>
      <c r="G81" s="13">
        <v>13333761.16</v>
      </c>
    </row>
    <row r="82" spans="1:7" ht="15" customHeight="1" x14ac:dyDescent="0.3">
      <c r="A82" s="9" t="s">
        <v>125</v>
      </c>
      <c r="B82" s="9" t="s">
        <v>125</v>
      </c>
      <c r="C82" s="10" t="s">
        <v>53</v>
      </c>
      <c r="D82" s="11" t="s">
        <v>129</v>
      </c>
      <c r="E82" s="12">
        <v>3355110</v>
      </c>
      <c r="F82" s="12"/>
      <c r="G82" s="13">
        <v>9978651.1600000001</v>
      </c>
    </row>
    <row r="83" spans="1:7" ht="15" customHeight="1" x14ac:dyDescent="0.3">
      <c r="A83" s="9" t="s">
        <v>133</v>
      </c>
      <c r="B83" s="9" t="s">
        <v>133</v>
      </c>
      <c r="C83" s="10" t="s">
        <v>134</v>
      </c>
      <c r="D83" s="11" t="s">
        <v>135</v>
      </c>
      <c r="E83" s="12">
        <v>1150000</v>
      </c>
      <c r="F83" s="12"/>
      <c r="G83" s="13">
        <v>8828651.1600000001</v>
      </c>
    </row>
    <row r="84" spans="1:7" ht="15" customHeight="1" x14ac:dyDescent="0.3">
      <c r="A84" s="9" t="s">
        <v>133</v>
      </c>
      <c r="B84" s="9" t="s">
        <v>133</v>
      </c>
      <c r="C84" s="10" t="s">
        <v>136</v>
      </c>
      <c r="D84" s="11" t="s">
        <v>135</v>
      </c>
      <c r="E84" s="12">
        <v>10900</v>
      </c>
      <c r="F84" s="12"/>
      <c r="G84" s="13">
        <v>8817751.1600000001</v>
      </c>
    </row>
    <row r="85" spans="1:7" ht="15" customHeight="1" x14ac:dyDescent="0.3">
      <c r="A85" s="9" t="s">
        <v>133</v>
      </c>
      <c r="B85" s="9" t="s">
        <v>133</v>
      </c>
      <c r="C85" s="10" t="s">
        <v>137</v>
      </c>
      <c r="D85" s="11" t="s">
        <v>135</v>
      </c>
      <c r="E85" s="12">
        <v>1744</v>
      </c>
      <c r="F85" s="12"/>
      <c r="G85" s="13">
        <v>8816007.1600000001</v>
      </c>
    </row>
    <row r="86" spans="1:7" ht="15" customHeight="1" x14ac:dyDescent="0.3">
      <c r="A86" s="9" t="s">
        <v>133</v>
      </c>
      <c r="B86" s="9" t="s">
        <v>133</v>
      </c>
      <c r="C86" s="10" t="s">
        <v>138</v>
      </c>
      <c r="D86" s="11" t="s">
        <v>135</v>
      </c>
      <c r="E86" s="12">
        <v>575</v>
      </c>
      <c r="F86" s="12"/>
      <c r="G86" s="13">
        <v>8815432.1600000001</v>
      </c>
    </row>
    <row r="87" spans="1:7" ht="15" customHeight="1" x14ac:dyDescent="0.3">
      <c r="A87" s="9" t="s">
        <v>133</v>
      </c>
      <c r="B87" s="9" t="s">
        <v>133</v>
      </c>
      <c r="C87" s="10" t="s">
        <v>139</v>
      </c>
      <c r="D87" s="11" t="s">
        <v>140</v>
      </c>
      <c r="E87" s="12">
        <v>8025442.2800000003</v>
      </c>
      <c r="F87" s="12"/>
      <c r="G87" s="13">
        <v>789989.88</v>
      </c>
    </row>
    <row r="88" spans="1:7" ht="15" customHeight="1" x14ac:dyDescent="0.3">
      <c r="A88" s="9" t="s">
        <v>133</v>
      </c>
      <c r="B88" s="9" t="s">
        <v>133</v>
      </c>
      <c r="C88" s="10" t="s">
        <v>141</v>
      </c>
      <c r="D88" s="11" t="s">
        <v>140</v>
      </c>
      <c r="E88" s="12">
        <v>10900</v>
      </c>
      <c r="F88" s="12"/>
      <c r="G88" s="13">
        <v>779089.88</v>
      </c>
    </row>
    <row r="89" spans="1:7" ht="15" customHeight="1" x14ac:dyDescent="0.3">
      <c r="A89" s="9" t="s">
        <v>133</v>
      </c>
      <c r="B89" s="9" t="s">
        <v>133</v>
      </c>
      <c r="C89" s="10" t="s">
        <v>142</v>
      </c>
      <c r="D89" s="11" t="s">
        <v>140</v>
      </c>
      <c r="E89" s="12">
        <v>1744</v>
      </c>
      <c r="F89" s="12"/>
      <c r="G89" s="13">
        <v>777345.88</v>
      </c>
    </row>
    <row r="90" spans="1:7" ht="15" customHeight="1" x14ac:dyDescent="0.3">
      <c r="A90" s="9" t="s">
        <v>133</v>
      </c>
      <c r="B90" s="9" t="s">
        <v>133</v>
      </c>
      <c r="C90" s="10" t="s">
        <v>143</v>
      </c>
      <c r="D90" s="11" t="s">
        <v>140</v>
      </c>
      <c r="E90" s="12">
        <v>4012.72</v>
      </c>
      <c r="F90" s="12"/>
      <c r="G90" s="13">
        <v>773333.16</v>
      </c>
    </row>
    <row r="91" spans="1:7" ht="15" customHeight="1" x14ac:dyDescent="0.3">
      <c r="A91" s="9" t="s">
        <v>144</v>
      </c>
      <c r="B91" s="9" t="s">
        <v>145</v>
      </c>
      <c r="C91" s="10" t="s">
        <v>37</v>
      </c>
      <c r="D91" s="11" t="s">
        <v>146</v>
      </c>
      <c r="E91" s="12">
        <v>23500</v>
      </c>
      <c r="F91" s="12"/>
      <c r="G91" s="13">
        <v>749833.16</v>
      </c>
    </row>
    <row r="92" spans="1:7" ht="15" customHeight="1" x14ac:dyDescent="0.3">
      <c r="A92" s="9" t="s">
        <v>144</v>
      </c>
      <c r="B92" s="9" t="s">
        <v>145</v>
      </c>
      <c r="C92" s="10" t="s">
        <v>39</v>
      </c>
      <c r="D92" s="11" t="s">
        <v>146</v>
      </c>
      <c r="E92" s="12">
        <v>3760</v>
      </c>
      <c r="F92" s="12"/>
      <c r="G92" s="13">
        <v>746073.16</v>
      </c>
    </row>
    <row r="93" spans="1:7" x14ac:dyDescent="0.3">
      <c r="A93" s="3" t="s">
        <v>147</v>
      </c>
      <c r="B93" s="3"/>
      <c r="C93" s="3"/>
      <c r="D93" s="3"/>
      <c r="E93" s="14">
        <f>SUM(E11:E92)</f>
        <v>73712346.329999998</v>
      </c>
      <c r="F93" s="14">
        <f>SUM(F11:F92)</f>
        <v>72773298.400000006</v>
      </c>
      <c r="G93" s="15"/>
    </row>
    <row r="94" spans="1:7" ht="30" customHeight="1" x14ac:dyDescent="0.3">
      <c r="A94" s="2" t="s">
        <v>148</v>
      </c>
      <c r="B94" s="2"/>
      <c r="C94" s="2"/>
      <c r="D94" s="2"/>
      <c r="E94" s="2"/>
      <c r="F94" s="2"/>
      <c r="G94" s="2"/>
    </row>
    <row r="95" spans="1:7" ht="42" customHeight="1" x14ac:dyDescent="0.3">
      <c r="A95" s="1" t="s">
        <v>149</v>
      </c>
      <c r="B95" s="1"/>
      <c r="C95" s="1"/>
      <c r="D95" s="1"/>
      <c r="E95" s="1"/>
      <c r="F95" s="1"/>
      <c r="G95" s="1"/>
    </row>
  </sheetData>
  <autoFilter ref="A10:G92"/>
  <mergeCells count="22">
    <mergeCell ref="A93:D93"/>
    <mergeCell ref="A94:G94"/>
    <mergeCell ref="A95:G95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Extrait de compte 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2026-08-05T16:44:29Z</dcterms:created>
  <dcterms:modified xsi:type="dcterms:W3CDTF">2026-08-05T17:16:18Z</dcterms:modified>
  <dc:language>en-US</dc:language>
</cp:coreProperties>
</file>