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Relevé officiel CDF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1" l="1"/>
  <c r="D46" i="1"/>
</calcChain>
</file>

<file path=xl/sharedStrings.xml><?xml version="1.0" encoding="utf-8"?>
<sst xmlns="http://schemas.openxmlformats.org/spreadsheetml/2006/main" count="172" uniqueCount="73">
  <si>
    <t>RAWBANK — Statement of Account  •  ELECTRO COOL (CDF)</t>
  </si>
  <si>
    <t>IBAN</t>
  </si>
  <si>
    <t>Non repris sur l'extrait Web-Banking</t>
  </si>
  <si>
    <t>Titulaire</t>
  </si>
  <si>
    <t>ELECTRO COOL SARL (Personne morale)</t>
  </si>
  <si>
    <t>Account Number</t>
  </si>
  <si>
    <t>05101-01000080901-64 (CDF)</t>
  </si>
  <si>
    <t>Adresse</t>
  </si>
  <si>
    <t>3966, Av/ Liberté Q/ Ndolo, C/ Barumbu, Kinshasa</t>
  </si>
  <si>
    <t>Account Nickname</t>
  </si>
  <si>
    <t>ELECTRO COOL CDF</t>
  </si>
  <si>
    <t>Période</t>
  </si>
  <si>
    <t>28/01/2026 → 27/07/2026 (180 jours)</t>
  </si>
  <si>
    <t>Nb transactions débit</t>
  </si>
  <si>
    <t>32</t>
  </si>
  <si>
    <t>Nb transactions crédit</t>
  </si>
  <si>
    <t>2</t>
  </si>
  <si>
    <t>Total Debit Amounts</t>
  </si>
  <si>
    <t>22 876 211,23</t>
  </si>
  <si>
    <t>Total Credit Amounts</t>
  </si>
  <si>
    <t>21 950 000,00</t>
  </si>
  <si>
    <t>Period Opening Balance</t>
  </si>
  <si>
    <t>552 264,54</t>
  </si>
  <si>
    <t>Period Closing Balance</t>
  </si>
  <si>
    <t>-373 946,69</t>
  </si>
  <si>
    <t>Transaction Date</t>
  </si>
  <si>
    <t>Value Date</t>
  </si>
  <si>
    <t>Transaction Details</t>
  </si>
  <si>
    <t>Debit Amount</t>
  </si>
  <si>
    <t>Credit Amount</t>
  </si>
  <si>
    <t>Current Balance</t>
  </si>
  <si>
    <t>DR/CR</t>
  </si>
  <si>
    <t>30/01/2026</t>
  </si>
  <si>
    <t>BALANCE B/F</t>
  </si>
  <si>
    <t>FTC</t>
  </si>
  <si>
    <t>CR</t>
  </si>
  <si>
    <t>03/02/2026</t>
  </si>
  <si>
    <t>FR VIR VILLE DE KINSHASA</t>
  </si>
  <si>
    <t>VIREMENT: VILLE DE KINSHASA</t>
  </si>
  <si>
    <t>25/02/2026</t>
  </si>
  <si>
    <t>SOUSC ALERSMS ALERT</t>
  </si>
  <si>
    <t>27/02/2026</t>
  </si>
  <si>
    <t>04/03/2026</t>
  </si>
  <si>
    <t>DR</t>
  </si>
  <si>
    <t>11/03/2026</t>
  </si>
  <si>
    <t>FR VIR DGI</t>
  </si>
  <si>
    <t>VIREMENT: DGI</t>
  </si>
  <si>
    <t>VIREMENT: APPROV COMPTE</t>
  </si>
  <si>
    <t>VRT LOGI: TVAELECTROCOOLA07147</t>
  </si>
  <si>
    <t>VRT LOGI: 20260310ELECTROCOOLD</t>
  </si>
  <si>
    <t>VRT LOGI: FraisbancaireELECTRO</t>
  </si>
  <si>
    <t>25/03/2026</t>
  </si>
  <si>
    <t>31/03/2026</t>
  </si>
  <si>
    <t>01/04/2026</t>
  </si>
  <si>
    <t>INTERETS DEBITEURS AU 31/03/26</t>
  </si>
  <si>
    <t>07/04/2026</t>
  </si>
  <si>
    <t>27/04/2026</t>
  </si>
  <si>
    <t>30/04/2026</t>
  </si>
  <si>
    <t>11/05/2026</t>
  </si>
  <si>
    <t>25/05/2026</t>
  </si>
  <si>
    <t>26/05/2026</t>
  </si>
  <si>
    <t>27/05/2026</t>
  </si>
  <si>
    <t>FRAIS VIR PMT AMRB 83723/ELECT</t>
  </si>
  <si>
    <t>PMT AMRB 83723/ELECTRO COOL</t>
  </si>
  <si>
    <t>29/05/2026</t>
  </si>
  <si>
    <t>05/06/2026</t>
  </si>
  <si>
    <t>25/06/2026</t>
  </si>
  <si>
    <t>29/06/2026</t>
  </si>
  <si>
    <t>01/07/2026</t>
  </si>
  <si>
    <t>INTERETS DEBITEURS AU 30/06/26</t>
  </si>
  <si>
    <t>22/07/2026</t>
  </si>
  <si>
    <t>Totals</t>
  </si>
  <si>
    <t>Contrôle : 34 mouvements (32 débits / 2 crédits, conformes au total « 34 éléments » de l'extrait) — chaîne des soldes vérifiée en continu de l'ouverture (552 264,54) à la clôture (-373 946,69), sans rupture. Totaux calculés : Débits 22 876 211,23 / Crédits 21 950 000,00 CDF — identiques aux totaux imprimés, et Ouverture − Débits + Crédits = 552 264,54 − 22 876 211,23 + 21 950 000,00 = -373 946,69 = clôture. Relevé entièrement cohérent. Le relevé original est trié en ordre antichronologique ; il a été remis ici en ordre chronologique. Extraction Web-Banking du 27/07/2026.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</si>
</sst>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9"/>
      <color rgb="FF808080"/>
      <name val="Arial"/>
      <charset val="1"/>
    </font>
    <font>
      <sz val="8"/>
      <color rgb="FF1F5C4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9E8E1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zoomScaleNormal="100" workbookViewId="0">
      <pane ySplit="10" topLeftCell="A34" activePane="bottomLeft" state="frozen"/>
      <selection pane="bottomLeft"/>
    </sheetView>
  </sheetViews>
  <sheetFormatPr baseColWidth="10" defaultColWidth="8.6640625" defaultRowHeight="14.4" x14ac:dyDescent="0.3"/>
  <cols>
    <col min="1" max="2" width="12" customWidth="1"/>
    <col min="3" max="3" width="56" customWidth="1"/>
    <col min="4" max="6" width="16" customWidth="1"/>
    <col min="7" max="7" width="7" customWidth="1"/>
  </cols>
  <sheetData>
    <row r="1" spans="1:7" ht="27.75" customHeight="1" x14ac:dyDescent="0.3">
      <c r="A1" s="5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4" t="s">
        <v>2</v>
      </c>
      <c r="C3" s="4"/>
      <c r="D3" s="3" t="s">
        <v>3</v>
      </c>
      <c r="E3" s="3"/>
      <c r="F3" s="4" t="s">
        <v>4</v>
      </c>
      <c r="G3" s="4"/>
    </row>
    <row r="4" spans="1:7" x14ac:dyDescent="0.3">
      <c r="A4" s="6" t="s">
        <v>5</v>
      </c>
      <c r="B4" s="4" t="s">
        <v>6</v>
      </c>
      <c r="C4" s="4"/>
      <c r="D4" s="3" t="s">
        <v>7</v>
      </c>
      <c r="E4" s="3"/>
      <c r="F4" s="4" t="s">
        <v>8</v>
      </c>
      <c r="G4" s="4"/>
    </row>
    <row r="5" spans="1:7" x14ac:dyDescent="0.3">
      <c r="A5" s="6" t="s">
        <v>9</v>
      </c>
      <c r="B5" s="4" t="s">
        <v>10</v>
      </c>
      <c r="C5" s="4"/>
      <c r="D5" s="3" t="s">
        <v>11</v>
      </c>
      <c r="E5" s="3"/>
      <c r="F5" s="4" t="s">
        <v>12</v>
      </c>
      <c r="G5" s="4"/>
    </row>
    <row r="6" spans="1:7" x14ac:dyDescent="0.3">
      <c r="A6" s="6" t="s">
        <v>13</v>
      </c>
      <c r="B6" s="4" t="s">
        <v>14</v>
      </c>
      <c r="C6" s="4"/>
      <c r="D6" s="3" t="s">
        <v>15</v>
      </c>
      <c r="E6" s="3"/>
      <c r="F6" s="4" t="s">
        <v>16</v>
      </c>
      <c r="G6" s="4"/>
    </row>
    <row r="7" spans="1:7" x14ac:dyDescent="0.3">
      <c r="A7" s="6" t="s">
        <v>17</v>
      </c>
      <c r="B7" s="4" t="s">
        <v>18</v>
      </c>
      <c r="C7" s="4"/>
      <c r="D7" s="3" t="s">
        <v>19</v>
      </c>
      <c r="E7" s="3"/>
      <c r="F7" s="4" t="s">
        <v>20</v>
      </c>
      <c r="G7" s="4"/>
    </row>
    <row r="8" spans="1:7" x14ac:dyDescent="0.3">
      <c r="A8" s="6" t="s">
        <v>21</v>
      </c>
      <c r="B8" s="4" t="s">
        <v>22</v>
      </c>
      <c r="C8" s="4"/>
      <c r="D8" s="3" t="s">
        <v>23</v>
      </c>
      <c r="E8" s="3"/>
      <c r="F8" s="4" t="s">
        <v>24</v>
      </c>
      <c r="G8" s="4"/>
    </row>
    <row r="10" spans="1:7" ht="25.5" customHeight="1" x14ac:dyDescent="0.3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</row>
    <row r="11" spans="1:7" ht="15.75" customHeight="1" x14ac:dyDescent="0.3">
      <c r="A11" s="8" t="s">
        <v>32</v>
      </c>
      <c r="B11" s="8"/>
      <c r="C11" s="9" t="s">
        <v>33</v>
      </c>
      <c r="D11" s="10"/>
      <c r="E11" s="10"/>
      <c r="F11" s="10">
        <v>552264.54</v>
      </c>
      <c r="G11" s="8"/>
    </row>
    <row r="12" spans="1:7" ht="15.75" customHeight="1" x14ac:dyDescent="0.3">
      <c r="A12" s="11" t="s">
        <v>32</v>
      </c>
      <c r="B12" s="11" t="s">
        <v>32</v>
      </c>
      <c r="C12" s="12" t="s">
        <v>34</v>
      </c>
      <c r="D12" s="13">
        <v>25926</v>
      </c>
      <c r="E12" s="13"/>
      <c r="F12" s="13">
        <v>526338.54</v>
      </c>
      <c r="G12" s="11" t="s">
        <v>35</v>
      </c>
    </row>
    <row r="13" spans="1:7" ht="15.75" customHeight="1" x14ac:dyDescent="0.3">
      <c r="A13" s="11" t="s">
        <v>36</v>
      </c>
      <c r="B13" s="11" t="s">
        <v>36</v>
      </c>
      <c r="C13" s="12" t="s">
        <v>37</v>
      </c>
      <c r="D13" s="13">
        <v>38628</v>
      </c>
      <c r="E13" s="13"/>
      <c r="F13" s="13">
        <v>487710.54</v>
      </c>
      <c r="G13" s="11" t="s">
        <v>35</v>
      </c>
    </row>
    <row r="14" spans="1:7" ht="15.75" customHeight="1" x14ac:dyDescent="0.3">
      <c r="A14" s="11" t="s">
        <v>36</v>
      </c>
      <c r="B14" s="11" t="s">
        <v>36</v>
      </c>
      <c r="C14" s="12" t="s">
        <v>38</v>
      </c>
      <c r="D14" s="13">
        <v>223403.4</v>
      </c>
      <c r="E14" s="13"/>
      <c r="F14" s="13">
        <v>264307.14</v>
      </c>
      <c r="G14" s="11" t="s">
        <v>35</v>
      </c>
    </row>
    <row r="15" spans="1:7" ht="15.75" customHeight="1" x14ac:dyDescent="0.3">
      <c r="A15" s="11" t="s">
        <v>39</v>
      </c>
      <c r="B15" s="11" t="s">
        <v>39</v>
      </c>
      <c r="C15" s="12" t="s">
        <v>40</v>
      </c>
      <c r="D15" s="13">
        <v>4526.8999999999996</v>
      </c>
      <c r="E15" s="13"/>
      <c r="F15" s="13">
        <v>259780.24</v>
      </c>
      <c r="G15" s="11" t="s">
        <v>35</v>
      </c>
    </row>
    <row r="16" spans="1:7" ht="15.75" customHeight="1" x14ac:dyDescent="0.3">
      <c r="A16" s="11" t="s">
        <v>41</v>
      </c>
      <c r="B16" s="11" t="s">
        <v>41</v>
      </c>
      <c r="C16" s="12" t="s">
        <v>34</v>
      </c>
      <c r="D16" s="13">
        <v>25868</v>
      </c>
      <c r="E16" s="13"/>
      <c r="F16" s="13">
        <v>233912.24</v>
      </c>
      <c r="G16" s="11" t="s">
        <v>35</v>
      </c>
    </row>
    <row r="17" spans="1:7" ht="15.75" customHeight="1" x14ac:dyDescent="0.3">
      <c r="A17" s="11" t="s">
        <v>42</v>
      </c>
      <c r="B17" s="11" t="s">
        <v>42</v>
      </c>
      <c r="C17" s="12" t="s">
        <v>37</v>
      </c>
      <c r="D17" s="13">
        <v>38802</v>
      </c>
      <c r="E17" s="13"/>
      <c r="F17" s="13">
        <v>195110.24</v>
      </c>
      <c r="G17" s="11" t="s">
        <v>35</v>
      </c>
    </row>
    <row r="18" spans="1:7" ht="15.75" customHeight="1" x14ac:dyDescent="0.3">
      <c r="A18" s="11" t="s">
        <v>42</v>
      </c>
      <c r="B18" s="11" t="s">
        <v>42</v>
      </c>
      <c r="C18" s="12" t="s">
        <v>38</v>
      </c>
      <c r="D18" s="13">
        <v>227201.61</v>
      </c>
      <c r="E18" s="13"/>
      <c r="F18" s="13">
        <v>-32091.37</v>
      </c>
      <c r="G18" s="11" t="s">
        <v>43</v>
      </c>
    </row>
    <row r="19" spans="1:7" ht="15.75" customHeight="1" x14ac:dyDescent="0.3">
      <c r="A19" s="11" t="s">
        <v>44</v>
      </c>
      <c r="B19" s="11" t="s">
        <v>44</v>
      </c>
      <c r="C19" s="12" t="s">
        <v>45</v>
      </c>
      <c r="D19" s="13">
        <v>38628</v>
      </c>
      <c r="E19" s="13"/>
      <c r="F19" s="13">
        <v>-70719.37</v>
      </c>
      <c r="G19" s="11" t="s">
        <v>43</v>
      </c>
    </row>
    <row r="20" spans="1:7" ht="15.75" customHeight="1" x14ac:dyDescent="0.3">
      <c r="A20" s="11" t="s">
        <v>44</v>
      </c>
      <c r="B20" s="11" t="s">
        <v>44</v>
      </c>
      <c r="C20" s="12" t="s">
        <v>46</v>
      </c>
      <c r="D20" s="13">
        <v>13815379.029999999</v>
      </c>
      <c r="E20" s="13"/>
      <c r="F20" s="13">
        <v>-13886098.4</v>
      </c>
      <c r="G20" s="11" t="s">
        <v>43</v>
      </c>
    </row>
    <row r="21" spans="1:7" ht="15.75" customHeight="1" x14ac:dyDescent="0.3">
      <c r="A21" s="11" t="s">
        <v>44</v>
      </c>
      <c r="B21" s="11" t="s">
        <v>44</v>
      </c>
      <c r="C21" s="12" t="s">
        <v>47</v>
      </c>
      <c r="D21" s="13"/>
      <c r="E21" s="13">
        <v>15260000</v>
      </c>
      <c r="F21" s="13">
        <v>1373901.6</v>
      </c>
      <c r="G21" s="11" t="s">
        <v>35</v>
      </c>
    </row>
    <row r="22" spans="1:7" ht="15.75" customHeight="1" x14ac:dyDescent="0.3">
      <c r="A22" s="11" t="s">
        <v>44</v>
      </c>
      <c r="B22" s="11" t="s">
        <v>44</v>
      </c>
      <c r="C22" s="12" t="s">
        <v>48</v>
      </c>
      <c r="D22" s="13">
        <v>5328</v>
      </c>
      <c r="E22" s="13"/>
      <c r="F22" s="13">
        <v>1368573.6</v>
      </c>
      <c r="G22" s="11" t="s">
        <v>35</v>
      </c>
    </row>
    <row r="23" spans="1:7" ht="15.75" customHeight="1" x14ac:dyDescent="0.3">
      <c r="A23" s="11" t="s">
        <v>44</v>
      </c>
      <c r="B23" s="11" t="s">
        <v>44</v>
      </c>
      <c r="C23" s="12" t="s">
        <v>49</v>
      </c>
      <c r="D23" s="13">
        <v>712500</v>
      </c>
      <c r="E23" s="13"/>
      <c r="F23" s="13">
        <v>656073.6</v>
      </c>
      <c r="G23" s="11" t="s">
        <v>35</v>
      </c>
    </row>
    <row r="24" spans="1:7" ht="15.75" customHeight="1" x14ac:dyDescent="0.3">
      <c r="A24" s="11" t="s">
        <v>44</v>
      </c>
      <c r="B24" s="11" t="s">
        <v>44</v>
      </c>
      <c r="C24" s="12" t="s">
        <v>50</v>
      </c>
      <c r="D24" s="13">
        <v>33300</v>
      </c>
      <c r="E24" s="13"/>
      <c r="F24" s="13">
        <v>622773.6</v>
      </c>
      <c r="G24" s="11" t="s">
        <v>35</v>
      </c>
    </row>
    <row r="25" spans="1:7" ht="15.75" customHeight="1" x14ac:dyDescent="0.3">
      <c r="A25" s="11" t="s">
        <v>51</v>
      </c>
      <c r="B25" s="11" t="s">
        <v>51</v>
      </c>
      <c r="C25" s="12" t="s">
        <v>40</v>
      </c>
      <c r="D25" s="13">
        <v>4587.8</v>
      </c>
      <c r="E25" s="13"/>
      <c r="F25" s="13">
        <v>618185.80000000005</v>
      </c>
      <c r="G25" s="11" t="s">
        <v>35</v>
      </c>
    </row>
    <row r="26" spans="1:7" ht="15.75" customHeight="1" x14ac:dyDescent="0.3">
      <c r="A26" s="11" t="s">
        <v>52</v>
      </c>
      <c r="B26" s="11" t="s">
        <v>52</v>
      </c>
      <c r="C26" s="12" t="s">
        <v>34</v>
      </c>
      <c r="D26" s="13">
        <v>26332</v>
      </c>
      <c r="E26" s="13"/>
      <c r="F26" s="13">
        <v>591853.80000000005</v>
      </c>
      <c r="G26" s="11" t="s">
        <v>35</v>
      </c>
    </row>
    <row r="27" spans="1:7" ht="15.75" customHeight="1" x14ac:dyDescent="0.3">
      <c r="A27" s="11" t="s">
        <v>53</v>
      </c>
      <c r="B27" s="11" t="s">
        <v>53</v>
      </c>
      <c r="C27" s="12" t="s">
        <v>54</v>
      </c>
      <c r="D27" s="13">
        <v>2710.47</v>
      </c>
      <c r="E27" s="13"/>
      <c r="F27" s="13">
        <v>589143.32999999996</v>
      </c>
      <c r="G27" s="11" t="s">
        <v>35</v>
      </c>
    </row>
    <row r="28" spans="1:7" ht="15.75" customHeight="1" x14ac:dyDescent="0.3">
      <c r="A28" s="11" t="s">
        <v>55</v>
      </c>
      <c r="B28" s="11" t="s">
        <v>55</v>
      </c>
      <c r="C28" s="12" t="s">
        <v>37</v>
      </c>
      <c r="D28" s="13">
        <v>39150</v>
      </c>
      <c r="E28" s="13"/>
      <c r="F28" s="13">
        <v>549993.32999999996</v>
      </c>
      <c r="G28" s="11" t="s">
        <v>35</v>
      </c>
    </row>
    <row r="29" spans="1:7" ht="15.75" customHeight="1" x14ac:dyDescent="0.3">
      <c r="A29" s="11" t="s">
        <v>55</v>
      </c>
      <c r="B29" s="11" t="s">
        <v>55</v>
      </c>
      <c r="C29" s="12" t="s">
        <v>38</v>
      </c>
      <c r="D29" s="13">
        <v>228945.37</v>
      </c>
      <c r="E29" s="13"/>
      <c r="F29" s="13">
        <v>321047.96000000002</v>
      </c>
      <c r="G29" s="11" t="s">
        <v>35</v>
      </c>
    </row>
    <row r="30" spans="1:7" ht="15.75" customHeight="1" x14ac:dyDescent="0.3">
      <c r="A30" s="11" t="s">
        <v>56</v>
      </c>
      <c r="B30" s="11" t="s">
        <v>56</v>
      </c>
      <c r="C30" s="12" t="s">
        <v>40</v>
      </c>
      <c r="D30" s="13">
        <v>4638.55</v>
      </c>
      <c r="E30" s="13"/>
      <c r="F30" s="13">
        <v>316409.40999999997</v>
      </c>
      <c r="G30" s="11" t="s">
        <v>35</v>
      </c>
    </row>
    <row r="31" spans="1:7" ht="15.75" customHeight="1" x14ac:dyDescent="0.3">
      <c r="A31" s="11" t="s">
        <v>57</v>
      </c>
      <c r="B31" s="11" t="s">
        <v>57</v>
      </c>
      <c r="C31" s="12" t="s">
        <v>34</v>
      </c>
      <c r="D31" s="13">
        <v>26622</v>
      </c>
      <c r="E31" s="13"/>
      <c r="F31" s="13">
        <v>289787.40999999997</v>
      </c>
      <c r="G31" s="11" t="s">
        <v>35</v>
      </c>
    </row>
    <row r="32" spans="1:7" ht="15.75" customHeight="1" x14ac:dyDescent="0.3">
      <c r="A32" s="11" t="s">
        <v>58</v>
      </c>
      <c r="B32" s="11" t="s">
        <v>58</v>
      </c>
      <c r="C32" s="12" t="s">
        <v>37</v>
      </c>
      <c r="D32" s="13">
        <v>38628</v>
      </c>
      <c r="E32" s="13"/>
      <c r="F32" s="13">
        <v>251159.41</v>
      </c>
      <c r="G32" s="11" t="s">
        <v>35</v>
      </c>
    </row>
    <row r="33" spans="1:7" ht="15.75" customHeight="1" x14ac:dyDescent="0.3">
      <c r="A33" s="11" t="s">
        <v>58</v>
      </c>
      <c r="B33" s="11" t="s">
        <v>58</v>
      </c>
      <c r="C33" s="12" t="s">
        <v>38</v>
      </c>
      <c r="D33" s="13">
        <v>231267.93</v>
      </c>
      <c r="E33" s="13"/>
      <c r="F33" s="13">
        <v>19891.48</v>
      </c>
      <c r="G33" s="11" t="s">
        <v>35</v>
      </c>
    </row>
    <row r="34" spans="1:7" ht="15.75" customHeight="1" x14ac:dyDescent="0.3">
      <c r="A34" s="11" t="s">
        <v>59</v>
      </c>
      <c r="B34" s="11" t="s">
        <v>59</v>
      </c>
      <c r="C34" s="12" t="s">
        <v>40</v>
      </c>
      <c r="D34" s="13">
        <v>4577.6499999999996</v>
      </c>
      <c r="E34" s="13"/>
      <c r="F34" s="13">
        <v>15313.83</v>
      </c>
      <c r="G34" s="11" t="s">
        <v>35</v>
      </c>
    </row>
    <row r="35" spans="1:7" ht="15.75" customHeight="1" x14ac:dyDescent="0.3">
      <c r="A35" s="11" t="s">
        <v>60</v>
      </c>
      <c r="B35" s="11" t="s">
        <v>60</v>
      </c>
      <c r="C35" s="12" t="s">
        <v>47</v>
      </c>
      <c r="D35" s="13"/>
      <c r="E35" s="13">
        <v>6690000</v>
      </c>
      <c r="F35" s="13">
        <v>6705313.8300000001</v>
      </c>
      <c r="G35" s="11" t="s">
        <v>35</v>
      </c>
    </row>
    <row r="36" spans="1:7" ht="15.75" customHeight="1" x14ac:dyDescent="0.3">
      <c r="A36" s="11" t="s">
        <v>61</v>
      </c>
      <c r="B36" s="11" t="s">
        <v>61</v>
      </c>
      <c r="C36" s="12" t="s">
        <v>62</v>
      </c>
      <c r="D36" s="13">
        <v>74408.03</v>
      </c>
      <c r="E36" s="13"/>
      <c r="F36" s="13">
        <v>6630905.7999999998</v>
      </c>
      <c r="G36" s="11" t="s">
        <v>35</v>
      </c>
    </row>
    <row r="37" spans="1:7" ht="15.75" customHeight="1" x14ac:dyDescent="0.3">
      <c r="A37" s="11" t="s">
        <v>61</v>
      </c>
      <c r="B37" s="11" t="s">
        <v>61</v>
      </c>
      <c r="C37" s="12" t="s">
        <v>63</v>
      </c>
      <c r="D37" s="13">
        <v>6414485</v>
      </c>
      <c r="E37" s="13"/>
      <c r="F37" s="13">
        <v>216420.8</v>
      </c>
      <c r="G37" s="11" t="s">
        <v>35</v>
      </c>
    </row>
    <row r="38" spans="1:7" ht="15.75" customHeight="1" x14ac:dyDescent="0.3">
      <c r="A38" s="11" t="s">
        <v>64</v>
      </c>
      <c r="B38" s="11" t="s">
        <v>64</v>
      </c>
      <c r="C38" s="12" t="s">
        <v>34</v>
      </c>
      <c r="D38" s="13">
        <v>26274</v>
      </c>
      <c r="E38" s="13"/>
      <c r="F38" s="13">
        <v>190146.8</v>
      </c>
      <c r="G38" s="11" t="s">
        <v>35</v>
      </c>
    </row>
    <row r="39" spans="1:7" ht="15.75" customHeight="1" x14ac:dyDescent="0.3">
      <c r="A39" s="11" t="s">
        <v>65</v>
      </c>
      <c r="B39" s="11" t="s">
        <v>65</v>
      </c>
      <c r="C39" s="12" t="s">
        <v>37</v>
      </c>
      <c r="D39" s="13">
        <v>39150</v>
      </c>
      <c r="E39" s="13"/>
      <c r="F39" s="13">
        <v>150996.79999999999</v>
      </c>
      <c r="G39" s="11" t="s">
        <v>35</v>
      </c>
    </row>
    <row r="40" spans="1:7" ht="15.75" customHeight="1" x14ac:dyDescent="0.3">
      <c r="A40" s="11" t="s">
        <v>65</v>
      </c>
      <c r="B40" s="11" t="s">
        <v>65</v>
      </c>
      <c r="C40" s="12" t="s">
        <v>38</v>
      </c>
      <c r="D40" s="13">
        <v>224476.45</v>
      </c>
      <c r="E40" s="13"/>
      <c r="F40" s="13">
        <v>-73479.649999999994</v>
      </c>
      <c r="G40" s="11" t="s">
        <v>43</v>
      </c>
    </row>
    <row r="41" spans="1:7" ht="15.75" customHeight="1" x14ac:dyDescent="0.3">
      <c r="A41" s="11" t="s">
        <v>66</v>
      </c>
      <c r="B41" s="11" t="s">
        <v>66</v>
      </c>
      <c r="C41" s="12" t="s">
        <v>40</v>
      </c>
      <c r="D41" s="13">
        <v>4628.3999999999996</v>
      </c>
      <c r="E41" s="13"/>
      <c r="F41" s="13">
        <v>-78108.05</v>
      </c>
      <c r="G41" s="11" t="s">
        <v>43</v>
      </c>
    </row>
    <row r="42" spans="1:7" ht="15.75" customHeight="1" x14ac:dyDescent="0.3">
      <c r="A42" s="11" t="s">
        <v>67</v>
      </c>
      <c r="B42" s="11" t="s">
        <v>67</v>
      </c>
      <c r="C42" s="12" t="s">
        <v>34</v>
      </c>
      <c r="D42" s="13">
        <v>26448</v>
      </c>
      <c r="E42" s="13"/>
      <c r="F42" s="13">
        <v>-104556.05</v>
      </c>
      <c r="G42" s="11" t="s">
        <v>43</v>
      </c>
    </row>
    <row r="43" spans="1:7" ht="15.75" customHeight="1" x14ac:dyDescent="0.3">
      <c r="A43" s="11" t="s">
        <v>68</v>
      </c>
      <c r="B43" s="11" t="s">
        <v>68</v>
      </c>
      <c r="C43" s="12" t="s">
        <v>69</v>
      </c>
      <c r="D43" s="13">
        <v>5764.19</v>
      </c>
      <c r="E43" s="13"/>
      <c r="F43" s="13">
        <v>-110320.24</v>
      </c>
      <c r="G43" s="11" t="s">
        <v>43</v>
      </c>
    </row>
    <row r="44" spans="1:7" ht="15.75" customHeight="1" x14ac:dyDescent="0.3">
      <c r="A44" s="11" t="s">
        <v>70</v>
      </c>
      <c r="B44" s="11" t="s">
        <v>70</v>
      </c>
      <c r="C44" s="12" t="s">
        <v>37</v>
      </c>
      <c r="D44" s="13">
        <v>39150</v>
      </c>
      <c r="E44" s="13"/>
      <c r="F44" s="13">
        <v>-149470.24</v>
      </c>
      <c r="G44" s="11" t="s">
        <v>43</v>
      </c>
    </row>
    <row r="45" spans="1:7" ht="15.75" customHeight="1" x14ac:dyDescent="0.3">
      <c r="A45" s="11" t="s">
        <v>70</v>
      </c>
      <c r="B45" s="11" t="s">
        <v>70</v>
      </c>
      <c r="C45" s="12" t="s">
        <v>38</v>
      </c>
      <c r="D45" s="13">
        <v>224476.45</v>
      </c>
      <c r="E45" s="13"/>
      <c r="F45" s="13">
        <v>-373946.69</v>
      </c>
      <c r="G45" s="11" t="s">
        <v>43</v>
      </c>
    </row>
    <row r="46" spans="1:7" x14ac:dyDescent="0.3">
      <c r="A46" s="2" t="s">
        <v>71</v>
      </c>
      <c r="B46" s="2"/>
      <c r="C46" s="2"/>
      <c r="D46" s="14">
        <f>SUM(D11:D45)</f>
        <v>22876211.23</v>
      </c>
      <c r="E46" s="14">
        <f>SUM(E11:E45)</f>
        <v>21950000</v>
      </c>
      <c r="F46" s="15"/>
      <c r="G46" s="15"/>
    </row>
    <row r="47" spans="1:7" ht="48" customHeight="1" x14ac:dyDescent="0.3">
      <c r="A47" s="1" t="s">
        <v>72</v>
      </c>
      <c r="B47" s="1"/>
      <c r="C47" s="1"/>
      <c r="D47" s="1"/>
      <c r="E47" s="1"/>
      <c r="F47" s="1"/>
      <c r="G47" s="1"/>
    </row>
  </sheetData>
  <mergeCells count="21">
    <mergeCell ref="A46:C46"/>
    <mergeCell ref="A47:G47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 officiel 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2026-08-05T17:44:27Z</dcterms:created>
  <dcterms:modified xsi:type="dcterms:W3CDTF">2026-08-05T17:45:53Z</dcterms:modified>
  <dc:language>en-US</dc:language>
</cp:coreProperties>
</file>