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USD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6" i="1" l="1"/>
  <c r="D76" i="1"/>
</calcChain>
</file>

<file path=xl/sharedStrings.xml><?xml version="1.0" encoding="utf-8"?>
<sst xmlns="http://schemas.openxmlformats.org/spreadsheetml/2006/main" count="292" uniqueCount="137">
  <si>
    <t>TRUST MERCHANT BANK (TMB) — Statement of Account  •  ELECTRO COOL (USD)</t>
  </si>
  <si>
    <t>IBAN</t>
  </si>
  <si>
    <t>Non repris sur le relevé</t>
  </si>
  <si>
    <t>Titulaire</t>
  </si>
  <si>
    <t>ELECTRO COOL</t>
  </si>
  <si>
    <t>Account Number</t>
  </si>
  <si>
    <t>1201-5003587-01-91 (USD)</t>
  </si>
  <si>
    <t>Adresse</t>
  </si>
  <si>
    <t>3966 Av de Liber[té] Ndolo Barumbu, CD Congo (RDC)</t>
  </si>
  <si>
    <t>Account Nickname</t>
  </si>
  <si>
    <t>ELECTRO COOL (USD)</t>
  </si>
  <si>
    <t>Période</t>
  </si>
  <si>
    <t>01/01/2026 → 30/06/2026</t>
  </si>
  <si>
    <t>Nb transactions débit</t>
  </si>
  <si>
    <t>41</t>
  </si>
  <si>
    <t>Nb transactions crédit</t>
  </si>
  <si>
    <t>22 (+1 capture de solde)</t>
  </si>
  <si>
    <t>Total Debit Amounts</t>
  </si>
  <si>
    <t>53 856,04</t>
  </si>
  <si>
    <t>Total Credit Amounts</t>
  </si>
  <si>
    <t>54 810,53 (hors capture)</t>
  </si>
  <si>
    <t>Period Opening Balance</t>
  </si>
  <si>
    <t>-17 362,87</t>
  </si>
  <si>
    <t>Period Closing Balance</t>
  </si>
  <si>
    <t>978,06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</si>
  <si>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</si>
  <si>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</si>
  <si>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</si>
  <si>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</si>
  <si>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</si>
  <si>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</si>
  <si>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</si>
  <si>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01/01/2026</t>
  </si>
  <si>
    <t>BALANCE B/F</t>
  </si>
  <si>
    <t>FRAIS DE TENUE DE COMPTE  [Réf: 010AMCHUSD 00001]</t>
  </si>
  <si>
    <t>DR</t>
  </si>
  <si>
    <t>TVA COLLECTEE  [Réf: 010AMCHUSD 00002]</t>
  </si>
  <si>
    <t>29/01/2026</t>
  </si>
  <si>
    <t>PYT FACT N°FC/CD02010136/1-23/2026 - ENTRETIEN ASCENSEURS ET MONTE-CHARGES  [Réf: 010act5260290073]</t>
  </si>
  <si>
    <t>01/02/2026</t>
  </si>
  <si>
    <t>02/02/2026</t>
  </si>
  <si>
    <t>PYT FACT N°FC/CD02010136/1-44/2026 - ENTRETIEN MONTE-CHARGE DE DEC 2025/TM  [Réf: 010fet1260330022]</t>
  </si>
  <si>
    <t>11/02/2026</t>
  </si>
  <si>
    <t>PMT CHQ 8803842/KIKALULU  [Réf: 010CQWL260420091]</t>
  </si>
  <si>
    <t>24/02/2026</t>
  </si>
  <si>
    <t>PYT FACT N°FC/CD02010136/1-56/2026 - REDEVANCE MONTE CHARGE DE JANV 2026  [Réf: 010zzp1260550001]</t>
  </si>
  <si>
    <t>PYT FACT N°FC/CD02010136/1-57/2026 - REDEVANCE ASCENSEURS ET MONTE CHARGE D  [Réf: 010zzp1260550006]</t>
  </si>
  <si>
    <t>27/02/2026</t>
  </si>
  <si>
    <t>PYT FACT N°FC/CD02010136/1-91/2026 - REDEVANCE ASCENSEURS ET MONTE CHARGE D  [Réf: 010zzp6260580068]</t>
  </si>
  <si>
    <t>01/03/2026</t>
  </si>
  <si>
    <t>03/03/2026</t>
  </si>
  <si>
    <t>PAIEMENT LOYER JANVIER 2026 D/O ELECTRO COOL SPRL  [Réf: 010INFT260620480]</t>
  </si>
  <si>
    <t>06/03/2026</t>
  </si>
  <si>
    <t>PYT FACT N°FC/CD02010136/1-101/2026 - ENTRETIEN 2 CASSETTES VERTIV/TMB-PDM  [Réf: 010dkr3260650023]</t>
  </si>
  <si>
    <t>PYT FACT N°FC/CD02010136/1-102/2026 - REDEVANCE MONTE-CHARGE FEV 2026/TMB-  [Réf: 010dkr3260650026]</t>
  </si>
  <si>
    <t>11/03/2026</t>
  </si>
  <si>
    <t>REM CHQ 08803843 ELECTRO FAV MIESSI  [Réf: 010INCQ260700011]</t>
  </si>
  <si>
    <t>12/03/2026</t>
  </si>
  <si>
    <t>PYT CHQ 8803844 BOLINSOMI  [Réf: 01TCQWL260710003]</t>
  </si>
  <si>
    <t>13/03/2026</t>
  </si>
  <si>
    <t>FC CD02010136 1 109 2026  [Réf: 010INFT260720731]</t>
  </si>
  <si>
    <t>CR</t>
  </si>
  <si>
    <t>18/03/2026</t>
  </si>
  <si>
    <t>16/03/2026</t>
  </si>
  <si>
    <t>Account/Compte — Capture Balance / Capture du solde (solde repris par TMB)  [Réf: AAACT26075WGMZBSTQ] — écart de +17 386,44 vs solde reconstitué au 13/03 (1 057,44)</t>
  </si>
  <si>
    <t>17/03/2026</t>
  </si>
  <si>
    <t>RETRAIT PAR CHEQUE TMB - DEVISE Retrait Par Cheque Tmb -Devise  [Réf: TT26076BNZWK]</t>
  </si>
  <si>
    <t>20/03/2026</t>
  </si>
  <si>
    <t>RETRAIT PAR CHEQUE TMB - DEVISE Retrait Par Cheque Tmb -Devise  [Réf: TT26079BDQY8]</t>
  </si>
  <si>
    <t>24/03/2026</t>
  </si>
  <si>
    <t>RETRAIT PAR CHEQUE TMB - DEVISE Retrait Par Cheque Tmb -Devise  [Réf: TT26083VDN62]</t>
  </si>
  <si>
    <t>27/03/2026</t>
  </si>
  <si>
    <t>FACTURE To Acc No 10000041683 PMT FACTFC/CD02010136/1-152/2026  [Réf: FT26086CHPYD4]</t>
  </si>
  <si>
    <t>FACTURE To Acc No 10000041683 PMT FACTFC/CD02010136/1-143/2026  [Réf: FT2608639DY2M]</t>
  </si>
  <si>
    <t>31/03/2026</t>
  </si>
  <si>
    <t>RETRAIT PAR CHEQUE TMB - DEVISE Retrait Par Cheque Tmb -Devise  [Réf: TT26090YLQWK]</t>
  </si>
  <si>
    <t>Tax/Taxe — intérêts capitalisés  [Réf: AAACT26090ZY3KML5Z]</t>
  </si>
  <si>
    <t>Monthly Maintenance Fees / Frais mensuels d'entretien — intérêts capitalisés  [Réf: AAACT26090ZY3KML5Z]</t>
  </si>
  <si>
    <t>03/04/2026</t>
  </si>
  <si>
    <t>PYT LOYER FEV 2026 DO ELECTRO COOL  [Réf: K00260930GFFH0FC]</t>
  </si>
  <si>
    <t>07/04/2026</t>
  </si>
  <si>
    <t>RETRAIT PAR CHEQUE TMB - DEVISE Retrait Par Cheque Tmb -Devise  [Réf: TT260971JSPX]</t>
  </si>
  <si>
    <t>09/04/2026</t>
  </si>
  <si>
    <t>FACT ELECTROCOOL To Acc No: 10000041683FC/CD02010136/1-171/2026 REDEVANCE MONTE-CHARGE MARS 2026 VICTOIRE  [Réf: FT26099277HG9]</t>
  </si>
  <si>
    <t>FACT ELECTROCOOL To Acc No: 10000041683 REDRESSEMENT PORTE PALIERE MONTE-CHARGE AG VICTOIRE  [Réf: FT26099V0F8Q8]</t>
  </si>
  <si>
    <t>23/04/2026</t>
  </si>
  <si>
    <t>2604231203053874 To Acc No: 10000041683 FCCD02010136 1169 2026  [Réf: FT26113WSVWWTVBNK]</t>
  </si>
  <si>
    <t>24/04/2026</t>
  </si>
  <si>
    <t>RETRAIT PAR CHEQUE TMB - DEVISE Retrait Par Cheque Tmb -Devise  [Réf: TT26114P0WWH]</t>
  </si>
  <si>
    <t>25/04/2026</t>
  </si>
  <si>
    <t>RETRAIT PAR CHEQUE TMB - DEVISE Retrait Par Cheque Tmb -Devise  [Réf: TT261156TRQJ]</t>
  </si>
  <si>
    <t>29/04/2026</t>
  </si>
  <si>
    <t>RETRAIT PAR CHEQUE TMB - DEVISE Retrait Par Cheque Tmb -Devise  [Réf: TT261195CSQW]</t>
  </si>
  <si>
    <t>PAIEMENT LOYER MARS 2026  [Réf: K0026119GGMCJ0BC]</t>
  </si>
  <si>
    <t>30/04/2026</t>
  </si>
  <si>
    <t>PYT FACTURE To Acc No: 10000041683 PYT FACTFC/CD02010136/1-202/2026 - ENTRETIEN SPLITS CASETTES VERTIV 2026 04/DT/66  [Réf: FT261205HCHZW]</t>
  </si>
  <si>
    <t>PYT FACTURE To Acc No: 10000041683 PYT FACTFC/CD02001453/1-194/2026 - ENTRETIEN EXTINCTEURS/TMB-GBADOLITE  [Réf: FT26120H5KT7Z]</t>
  </si>
  <si>
    <t>Tax/Taxe — intérêts capitalisés  [Réf: AAACT261203FPFDTJK]</t>
  </si>
  <si>
    <t>Monthly Maintenance Fees / Frais mensuels d'entretien — intérêts capitalisés  [Réf: AAACT261203FPFDTJK]</t>
  </si>
  <si>
    <t>05/05/2026</t>
  </si>
  <si>
    <t>PYT FACTURE To Acc No 10000041683 PYT FACTFC/CD02010136/1-207/2026 - TRAVAUX DE DEMONTAGE ET MANUTENTION SPLITS COLONNES VERTIV/PDM  [Réf: FT26125FTGG3T]</t>
  </si>
  <si>
    <t>07/05/2026</t>
  </si>
  <si>
    <t>RETRAIT PAR CHEQUE TMB - DEVISE Retrait Par Cheque Tmb -Devise  [Réf: TT261278MD47]</t>
  </si>
  <si>
    <t>TVA  [Réf: CCNB 10000041683.0001002]</t>
  </si>
  <si>
    <t>FRAIS DE CONFECTION CHEQUIER  [Réf: CCNB 10000041683.0001002]</t>
  </si>
  <si>
    <t>TVA  [Réf: CCNB 10000041683.0001003]</t>
  </si>
  <si>
    <t>FRAIS DE CONFECTION CHEQUIER  [Réf: CCNB 10000041683.0001003]</t>
  </si>
  <si>
    <t>PAIEMENT LOYER AVRIL 2026 PAR ELECTRO COOL  [Réf: K0026127LCKHHCKG]</t>
  </si>
  <si>
    <t>29/05/2026</t>
  </si>
  <si>
    <t>PYT FACTURE To Acc No: 10000041683 PYT FACTFC/CD02010136/1-226/2026 - REDEVANCE MONTE-CHARGE AVRIL 2026  [Réf: FT26149GZJ6NB]</t>
  </si>
  <si>
    <t>PYT FACTURE To Acc No: 10000041683 PYT FACTFC/CD02010136/1-225/2026 - REDEVANCE ASCENSEUR ET MONTE-CHARGE AVRIL 2026/PDM  [Réf: FT26149M3F4D4]</t>
  </si>
  <si>
    <t>30/05/2026</t>
  </si>
  <si>
    <t>31/05/2026</t>
  </si>
  <si>
    <t>Tax/Taxe — intérêts capitalisés  [Réf: AAACT26150P4489WQX]</t>
  </si>
  <si>
    <t>Monthly Maintenance Fees / Frais mensuels d'entretien — intérêts capitalisés  [Réf: AAACT26150P4489WQX]</t>
  </si>
  <si>
    <t>01/06/2026</t>
  </si>
  <si>
    <t>RETRAIT PAR CHEQUE TMB - DEVISE Retrait Par Cheque Tmb -Devise  [Réf: TT261526QB79K13]</t>
  </si>
  <si>
    <t>06/06/2026</t>
  </si>
  <si>
    <t>PMT FACTURE To Acc No 10000041683 PMT FACTFC/CD02010136/1-248/2026 REDEVANCE ASCENSEUR MAI 2026 VICTOI  [Réf: FT26157X73XSW]</t>
  </si>
  <si>
    <t>PMT FACTURE To Acc No: 10000041683 PMT FACTFC/CD02010136/1-247/2026 REDEVANCE ASCENSEUR MAI 2026 PDM  [Réf: FT26157MQWKSF]</t>
  </si>
  <si>
    <t>09/06/2026</t>
  </si>
  <si>
    <t>RETRAIT PAR CHEQUE TMB - DEVISE Retrait Par Cheque Tmb -Devise  [Réf: TT261606V37W]</t>
  </si>
  <si>
    <t>PMT LOYER MAI 2026 DO ELECTRO COOL  [Réf: K0026160JF0BDFCL]</t>
  </si>
  <si>
    <t>22/06/2026</t>
  </si>
  <si>
    <t>PYT FACTURE To Acc No: 10000041683 PYT FACTFC/CD02010136/1-282/2026 - DEMONTAGE DE 2 MACHINES VERTIV/PDM  [Réf: FT26173R9LCG4]</t>
  </si>
  <si>
    <t>PYT FACTURE To Acc No: 10000041683 PYT FACTFC/CD02010136/1-289/2026 - REDEVANCE ASCENSEUR ET MONTE-CHARGE DE JUIN 2026/TMB-PDM  [Réf: FT26173T8GQT3]</t>
  </si>
  <si>
    <t>25/06/2026</t>
  </si>
  <si>
    <t>RETRAIT PAR CHEQUE TMB - DEVISE Retrait Par Cheque Tmb -Devise  [Réf: TT261766M33KWK29]</t>
  </si>
  <si>
    <t>29/06/2026</t>
  </si>
  <si>
    <t>FraisEventTypeTax  [Réf: K0026180CLCBKJLM]</t>
  </si>
  <si>
    <t>FraisEventTypeCharge  [Réf: K0026180CLCBKJLM]</t>
  </si>
  <si>
    <t>PMT FACTURE 187 1-37 2026  [Réf: K0026180CLCBKJLM]</t>
  </si>
  <si>
    <t>30/06/2026</t>
  </si>
  <si>
    <t>Tax/Taxe — intérêts capitalisés  [Réf: AAACT26180KPW6142G]</t>
  </si>
  <si>
    <t>Monthly Maintenance Fees / Frais mensuels d'entretien — intérêts capitalisés  [Réf: AAACT26180KPW6142G]</t>
  </si>
  <si>
    <t>Totals</t>
  </si>
  <si>
    <t>Contrôle : 63 mouvements (41 débits / 22 crédits) sur deux relevés TMB consécutifs (extraction du 27/07/2026, 13:22 et 13:23), remis en ordre chronologique. Totaux calculés : Débits 53 856,04 / Crédits 54 810,53 USD (hors ligne de capture). Segment 1 (01/01 → 13/03) : l'extrait TMB n'imprime aucun solde courant sur cette portion (historique migré) — soldes reconstitués ici, affichés en gris, aboutissant à 1 057,44 au 13/03. Segment 2 (capture du 16/03 → 30/06) : chaîne vérifiée en continu contre les soldes imprimés, sans aucune rupture, de 18 443,88 à la clôture 978,06, en passant par la clôture intermédiaire 3 845,39 au 31/03 (= ouverture du 2e relevé, conforme). ⚠ ANOMALIE À CLARIFIER AVEC TMB : la ligne « Capture du solde » du 16/03 fixe le solde à 18 443,88 alors que le solde reconstitué au 13/03 est de 1 057,44, soit un écart non documenté de +17 386,44 USD — des opérations semblent absentes de l'extrait entre le 13 et le 16/03. Équation globale : -17 362,87 − 53 856,04 + 54 810,53 + 17 386,44 (écart de capture) = 978,06 = clôture. Montants du retrait du 25/06 (2 680,00) et du PMT FACTURE 187 du 29/06 (1 063,00) confirmés à la fois par la chaîne des soldes et par lecture haute résolution du PDF original. TVA 16 % cohérente sur tous les frais (7,00→1,12 ; 40,00→6,40 ; 15,00→2,40).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</si>
</sst>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9"/>
      <color rgb="FF808080"/>
      <name val="Arial"/>
      <charset val="1"/>
    </font>
    <font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zoomScaleNormal="100" workbookViewId="0">
      <pane ySplit="10" topLeftCell="A44" activePane="bottomLeft" state="frozen"/>
      <selection pane="bottomLeft"/>
    </sheetView>
  </sheetViews>
  <sheetFormatPr baseColWidth="10" defaultColWidth="8.6640625" defaultRowHeight="14.4" x14ac:dyDescent="0.3"/>
  <cols>
    <col min="1" max="2" width="12" customWidth="1"/>
    <col min="3" max="3" width="56" customWidth="1"/>
    <col min="4" max="5" width="14" customWidth="1"/>
    <col min="6" max="6" width="15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5.75" customHeight="1" x14ac:dyDescent="0.3">
      <c r="A11" s="8" t="s">
        <v>32</v>
      </c>
      <c r="B11" s="8"/>
      <c r="C11" s="9" t="s">
        <v>33</v>
      </c>
      <c r="D11" s="10"/>
      <c r="E11" s="10"/>
      <c r="F11" s="10">
        <v>-17362.87</v>
      </c>
      <c r="G11" s="8"/>
    </row>
    <row r="12" spans="1:7" ht="15.75" customHeight="1" x14ac:dyDescent="0.3">
      <c r="A12" s="11" t="s">
        <v>32</v>
      </c>
      <c r="B12" s="11" t="s">
        <v>32</v>
      </c>
      <c r="C12" s="12" t="s">
        <v>34</v>
      </c>
      <c r="D12" s="13">
        <v>7</v>
      </c>
      <c r="E12" s="13"/>
      <c r="F12" s="14">
        <v>-17369.87</v>
      </c>
      <c r="G12" s="11" t="s">
        <v>35</v>
      </c>
    </row>
    <row r="13" spans="1:7" ht="15.75" customHeight="1" x14ac:dyDescent="0.3">
      <c r="A13" s="11" t="s">
        <v>32</v>
      </c>
      <c r="B13" s="11" t="s">
        <v>32</v>
      </c>
      <c r="C13" s="12" t="s">
        <v>36</v>
      </c>
      <c r="D13" s="13">
        <v>1.1200000000000001</v>
      </c>
      <c r="E13" s="13"/>
      <c r="F13" s="14">
        <v>-17370.990000000002</v>
      </c>
      <c r="G13" s="11" t="s">
        <v>35</v>
      </c>
    </row>
    <row r="14" spans="1:7" ht="15.75" customHeight="1" x14ac:dyDescent="0.3">
      <c r="A14" s="11" t="s">
        <v>37</v>
      </c>
      <c r="B14" s="11" t="s">
        <v>37</v>
      </c>
      <c r="C14" s="12" t="s">
        <v>38</v>
      </c>
      <c r="D14" s="13"/>
      <c r="E14" s="13">
        <v>1539.9</v>
      </c>
      <c r="F14" s="14">
        <v>-15831.09</v>
      </c>
      <c r="G14" s="11" t="s">
        <v>35</v>
      </c>
    </row>
    <row r="15" spans="1:7" ht="15.75" customHeight="1" x14ac:dyDescent="0.3">
      <c r="A15" s="11" t="s">
        <v>39</v>
      </c>
      <c r="B15" s="11" t="s">
        <v>39</v>
      </c>
      <c r="C15" s="12" t="s">
        <v>34</v>
      </c>
      <c r="D15" s="13">
        <v>7</v>
      </c>
      <c r="E15" s="13"/>
      <c r="F15" s="14">
        <v>-15838.09</v>
      </c>
      <c r="G15" s="11" t="s">
        <v>35</v>
      </c>
    </row>
    <row r="16" spans="1:7" ht="15.75" customHeight="1" x14ac:dyDescent="0.3">
      <c r="A16" s="11" t="s">
        <v>39</v>
      </c>
      <c r="B16" s="11" t="s">
        <v>39</v>
      </c>
      <c r="C16" s="12" t="s">
        <v>36</v>
      </c>
      <c r="D16" s="13">
        <v>1.1200000000000001</v>
      </c>
      <c r="E16" s="13"/>
      <c r="F16" s="14">
        <v>-15839.21</v>
      </c>
      <c r="G16" s="11" t="s">
        <v>35</v>
      </c>
    </row>
    <row r="17" spans="1:7" ht="15.75" customHeight="1" x14ac:dyDescent="0.3">
      <c r="A17" s="11" t="s">
        <v>40</v>
      </c>
      <c r="B17" s="11" t="s">
        <v>40</v>
      </c>
      <c r="C17" s="12" t="s">
        <v>41</v>
      </c>
      <c r="D17" s="13"/>
      <c r="E17" s="13">
        <v>261</v>
      </c>
      <c r="F17" s="14">
        <v>-15578.21</v>
      </c>
      <c r="G17" s="11" t="s">
        <v>35</v>
      </c>
    </row>
    <row r="18" spans="1:7" ht="15.75" customHeight="1" x14ac:dyDescent="0.3">
      <c r="A18" s="11" t="s">
        <v>42</v>
      </c>
      <c r="B18" s="11" t="s">
        <v>42</v>
      </c>
      <c r="C18" s="12" t="s">
        <v>43</v>
      </c>
      <c r="D18" s="13">
        <v>1500</v>
      </c>
      <c r="E18" s="13"/>
      <c r="F18" s="14">
        <v>-17078.21</v>
      </c>
      <c r="G18" s="11" t="s">
        <v>35</v>
      </c>
    </row>
    <row r="19" spans="1:7" ht="15.75" customHeight="1" x14ac:dyDescent="0.3">
      <c r="A19" s="11" t="s">
        <v>44</v>
      </c>
      <c r="B19" s="11" t="s">
        <v>44</v>
      </c>
      <c r="C19" s="12" t="s">
        <v>45</v>
      </c>
      <c r="D19" s="13"/>
      <c r="E19" s="13">
        <v>274.05</v>
      </c>
      <c r="F19" s="14">
        <v>-16804.16</v>
      </c>
      <c r="G19" s="11" t="s">
        <v>35</v>
      </c>
    </row>
    <row r="20" spans="1:7" ht="15.75" customHeight="1" x14ac:dyDescent="0.3">
      <c r="A20" s="11" t="s">
        <v>44</v>
      </c>
      <c r="B20" s="11" t="s">
        <v>44</v>
      </c>
      <c r="C20" s="12" t="s">
        <v>46</v>
      </c>
      <c r="D20" s="13"/>
      <c r="E20" s="13">
        <v>1616.9</v>
      </c>
      <c r="F20" s="14">
        <v>-15187.26</v>
      </c>
      <c r="G20" s="11" t="s">
        <v>35</v>
      </c>
    </row>
    <row r="21" spans="1:7" ht="15.75" customHeight="1" x14ac:dyDescent="0.3">
      <c r="A21" s="11" t="s">
        <v>47</v>
      </c>
      <c r="B21" s="11" t="s">
        <v>47</v>
      </c>
      <c r="C21" s="12" t="s">
        <v>48</v>
      </c>
      <c r="D21" s="13"/>
      <c r="E21" s="13">
        <v>1616.9</v>
      </c>
      <c r="F21" s="14">
        <v>-13570.36</v>
      </c>
      <c r="G21" s="11" t="s">
        <v>35</v>
      </c>
    </row>
    <row r="22" spans="1:7" ht="15.75" customHeight="1" x14ac:dyDescent="0.3">
      <c r="A22" s="11" t="s">
        <v>49</v>
      </c>
      <c r="B22" s="11" t="s">
        <v>49</v>
      </c>
      <c r="C22" s="12" t="s">
        <v>34</v>
      </c>
      <c r="D22" s="13">
        <v>7</v>
      </c>
      <c r="E22" s="13"/>
      <c r="F22" s="14">
        <v>-13577.36</v>
      </c>
      <c r="G22" s="11" t="s">
        <v>35</v>
      </c>
    </row>
    <row r="23" spans="1:7" ht="15.75" customHeight="1" x14ac:dyDescent="0.3">
      <c r="A23" s="11" t="s">
        <v>49</v>
      </c>
      <c r="B23" s="11" t="s">
        <v>49</v>
      </c>
      <c r="C23" s="12" t="s">
        <v>36</v>
      </c>
      <c r="D23" s="13">
        <v>1.1200000000000001</v>
      </c>
      <c r="E23" s="13"/>
      <c r="F23" s="14">
        <v>-13578.48</v>
      </c>
      <c r="G23" s="11" t="s">
        <v>35</v>
      </c>
    </row>
    <row r="24" spans="1:7" ht="15.75" customHeight="1" x14ac:dyDescent="0.3">
      <c r="A24" s="11" t="s">
        <v>50</v>
      </c>
      <c r="B24" s="11" t="s">
        <v>50</v>
      </c>
      <c r="C24" s="12" t="s">
        <v>51</v>
      </c>
      <c r="D24" s="13">
        <v>1350</v>
      </c>
      <c r="E24" s="13"/>
      <c r="F24" s="14">
        <v>-14928.48</v>
      </c>
      <c r="G24" s="11" t="s">
        <v>35</v>
      </c>
    </row>
    <row r="25" spans="1:7" ht="15.75" customHeight="1" x14ac:dyDescent="0.3">
      <c r="A25" s="11" t="s">
        <v>52</v>
      </c>
      <c r="B25" s="11" t="s">
        <v>52</v>
      </c>
      <c r="C25" s="12" t="s">
        <v>53</v>
      </c>
      <c r="D25" s="13"/>
      <c r="E25" s="13">
        <v>464</v>
      </c>
      <c r="F25" s="14">
        <v>-14464.48</v>
      </c>
      <c r="G25" s="11" t="s">
        <v>35</v>
      </c>
    </row>
    <row r="26" spans="1:7" ht="15.75" customHeight="1" x14ac:dyDescent="0.3">
      <c r="A26" s="11" t="s">
        <v>52</v>
      </c>
      <c r="B26" s="11" t="s">
        <v>52</v>
      </c>
      <c r="C26" s="12" t="s">
        <v>54</v>
      </c>
      <c r="D26" s="13"/>
      <c r="E26" s="13">
        <v>274.05</v>
      </c>
      <c r="F26" s="14">
        <v>-14190.43</v>
      </c>
      <c r="G26" s="11" t="s">
        <v>35</v>
      </c>
    </row>
    <row r="27" spans="1:7" ht="15.75" customHeight="1" x14ac:dyDescent="0.3">
      <c r="A27" s="11" t="s">
        <v>55</v>
      </c>
      <c r="B27" s="11" t="s">
        <v>55</v>
      </c>
      <c r="C27" s="12" t="s">
        <v>56</v>
      </c>
      <c r="D27" s="13">
        <v>1000</v>
      </c>
      <c r="E27" s="13"/>
      <c r="F27" s="14">
        <v>-15190.43</v>
      </c>
      <c r="G27" s="11" t="s">
        <v>35</v>
      </c>
    </row>
    <row r="28" spans="1:7" ht="15.75" customHeight="1" x14ac:dyDescent="0.3">
      <c r="A28" s="11" t="s">
        <v>57</v>
      </c>
      <c r="B28" s="11" t="s">
        <v>57</v>
      </c>
      <c r="C28" s="12" t="s">
        <v>58</v>
      </c>
      <c r="D28" s="13">
        <v>1115</v>
      </c>
      <c r="E28" s="13"/>
      <c r="F28" s="14">
        <v>-16305.43</v>
      </c>
      <c r="G28" s="11" t="s">
        <v>35</v>
      </c>
    </row>
    <row r="29" spans="1:7" ht="15.75" customHeight="1" x14ac:dyDescent="0.3">
      <c r="A29" s="11" t="s">
        <v>59</v>
      </c>
      <c r="B29" s="11" t="s">
        <v>59</v>
      </c>
      <c r="C29" s="12" t="s">
        <v>60</v>
      </c>
      <c r="D29" s="13"/>
      <c r="E29" s="13">
        <v>17362.87</v>
      </c>
      <c r="F29" s="14">
        <v>1057.44</v>
      </c>
      <c r="G29" s="11" t="s">
        <v>61</v>
      </c>
    </row>
    <row r="30" spans="1:7" ht="15.75" customHeight="1" x14ac:dyDescent="0.3">
      <c r="A30" s="8" t="s">
        <v>62</v>
      </c>
      <c r="B30" s="8" t="s">
        <v>63</v>
      </c>
      <c r="C30" s="9" t="s">
        <v>64</v>
      </c>
      <c r="D30" s="10"/>
      <c r="E30" s="10"/>
      <c r="F30" s="10">
        <v>18443.88</v>
      </c>
      <c r="G30" s="8" t="s">
        <v>61</v>
      </c>
    </row>
    <row r="31" spans="1:7" ht="15.75" customHeight="1" x14ac:dyDescent="0.3">
      <c r="A31" s="11" t="s">
        <v>65</v>
      </c>
      <c r="B31" s="11" t="s">
        <v>65</v>
      </c>
      <c r="C31" s="12" t="s">
        <v>66</v>
      </c>
      <c r="D31" s="13">
        <v>1500</v>
      </c>
      <c r="E31" s="13"/>
      <c r="F31" s="13">
        <v>16943.88</v>
      </c>
      <c r="G31" s="11" t="s">
        <v>61</v>
      </c>
    </row>
    <row r="32" spans="1:7" ht="15.75" customHeight="1" x14ac:dyDescent="0.3">
      <c r="A32" s="11" t="s">
        <v>67</v>
      </c>
      <c r="B32" s="11" t="s">
        <v>67</v>
      </c>
      <c r="C32" s="12" t="s">
        <v>68</v>
      </c>
      <c r="D32" s="13">
        <v>1500</v>
      </c>
      <c r="E32" s="13"/>
      <c r="F32" s="13">
        <v>15443.88</v>
      </c>
      <c r="G32" s="11" t="s">
        <v>61</v>
      </c>
    </row>
    <row r="33" spans="1:7" ht="15.75" customHeight="1" x14ac:dyDescent="0.3">
      <c r="A33" s="11" t="s">
        <v>69</v>
      </c>
      <c r="B33" s="11" t="s">
        <v>69</v>
      </c>
      <c r="C33" s="12" t="s">
        <v>70</v>
      </c>
      <c r="D33" s="13">
        <v>9900</v>
      </c>
      <c r="E33" s="13"/>
      <c r="F33" s="13">
        <v>5543.88</v>
      </c>
      <c r="G33" s="11" t="s">
        <v>61</v>
      </c>
    </row>
    <row r="34" spans="1:7" ht="15.75" customHeight="1" x14ac:dyDescent="0.3">
      <c r="A34" s="11" t="s">
        <v>71</v>
      </c>
      <c r="B34" s="11" t="s">
        <v>71</v>
      </c>
      <c r="C34" s="12" t="s">
        <v>72</v>
      </c>
      <c r="D34" s="13"/>
      <c r="E34" s="13">
        <v>1582.56</v>
      </c>
      <c r="F34" s="13">
        <v>7126.44</v>
      </c>
      <c r="G34" s="11" t="s">
        <v>61</v>
      </c>
    </row>
    <row r="35" spans="1:7" ht="15.75" customHeight="1" x14ac:dyDescent="0.3">
      <c r="A35" s="11" t="s">
        <v>71</v>
      </c>
      <c r="B35" s="11" t="s">
        <v>71</v>
      </c>
      <c r="C35" s="12" t="s">
        <v>73</v>
      </c>
      <c r="D35" s="13"/>
      <c r="E35" s="13">
        <v>227.07</v>
      </c>
      <c r="F35" s="13">
        <v>7353.51</v>
      </c>
      <c r="G35" s="11" t="s">
        <v>61</v>
      </c>
    </row>
    <row r="36" spans="1:7" ht="15.75" customHeight="1" x14ac:dyDescent="0.3">
      <c r="A36" s="11" t="s">
        <v>74</v>
      </c>
      <c r="B36" s="11" t="s">
        <v>74</v>
      </c>
      <c r="C36" s="12" t="s">
        <v>75</v>
      </c>
      <c r="D36" s="13">
        <v>3500</v>
      </c>
      <c r="E36" s="13"/>
      <c r="F36" s="13">
        <v>3853.51</v>
      </c>
      <c r="G36" s="11" t="s">
        <v>61</v>
      </c>
    </row>
    <row r="37" spans="1:7" ht="15.75" customHeight="1" x14ac:dyDescent="0.3">
      <c r="A37" s="11" t="s">
        <v>74</v>
      </c>
      <c r="B37" s="11" t="s">
        <v>74</v>
      </c>
      <c r="C37" s="12" t="s">
        <v>76</v>
      </c>
      <c r="D37" s="13">
        <v>1.1200000000000001</v>
      </c>
      <c r="E37" s="13"/>
      <c r="F37" s="13">
        <v>3852.39</v>
      </c>
      <c r="G37" s="11" t="s">
        <v>61</v>
      </c>
    </row>
    <row r="38" spans="1:7" ht="15.75" customHeight="1" x14ac:dyDescent="0.3">
      <c r="A38" s="11" t="s">
        <v>74</v>
      </c>
      <c r="B38" s="11" t="s">
        <v>74</v>
      </c>
      <c r="C38" s="12" t="s">
        <v>77</v>
      </c>
      <c r="D38" s="13">
        <v>7</v>
      </c>
      <c r="E38" s="13"/>
      <c r="F38" s="13">
        <v>3845.39</v>
      </c>
      <c r="G38" s="11" t="s">
        <v>61</v>
      </c>
    </row>
    <row r="39" spans="1:7" ht="15.75" customHeight="1" x14ac:dyDescent="0.3">
      <c r="A39" s="11" t="s">
        <v>78</v>
      </c>
      <c r="B39" s="11" t="s">
        <v>78</v>
      </c>
      <c r="C39" s="12" t="s">
        <v>79</v>
      </c>
      <c r="D39" s="13">
        <v>1350</v>
      </c>
      <c r="E39" s="13"/>
      <c r="F39" s="13">
        <v>2495.39</v>
      </c>
      <c r="G39" s="11" t="s">
        <v>61</v>
      </c>
    </row>
    <row r="40" spans="1:7" ht="15.75" customHeight="1" x14ac:dyDescent="0.3">
      <c r="A40" s="11" t="s">
        <v>80</v>
      </c>
      <c r="B40" s="11" t="s">
        <v>80</v>
      </c>
      <c r="C40" s="12" t="s">
        <v>81</v>
      </c>
      <c r="D40" s="13">
        <v>1500</v>
      </c>
      <c r="E40" s="13"/>
      <c r="F40" s="13">
        <v>995.39</v>
      </c>
      <c r="G40" s="11" t="s">
        <v>61</v>
      </c>
    </row>
    <row r="41" spans="1:7" ht="15.75" customHeight="1" x14ac:dyDescent="0.3">
      <c r="A41" s="11" t="s">
        <v>82</v>
      </c>
      <c r="B41" s="11" t="s">
        <v>82</v>
      </c>
      <c r="C41" s="12" t="s">
        <v>83</v>
      </c>
      <c r="D41" s="13"/>
      <c r="E41" s="13">
        <v>274.05</v>
      </c>
      <c r="F41" s="13">
        <v>1269.44</v>
      </c>
      <c r="G41" s="11" t="s">
        <v>61</v>
      </c>
    </row>
    <row r="42" spans="1:7" ht="15.75" customHeight="1" x14ac:dyDescent="0.3">
      <c r="A42" s="11" t="s">
        <v>82</v>
      </c>
      <c r="B42" s="11" t="s">
        <v>82</v>
      </c>
      <c r="C42" s="12" t="s">
        <v>84</v>
      </c>
      <c r="D42" s="13"/>
      <c r="E42" s="13">
        <v>174</v>
      </c>
      <c r="F42" s="13">
        <v>1443.44</v>
      </c>
      <c r="G42" s="11" t="s">
        <v>61</v>
      </c>
    </row>
    <row r="43" spans="1:7" ht="15.75" customHeight="1" x14ac:dyDescent="0.3">
      <c r="A43" s="11" t="s">
        <v>85</v>
      </c>
      <c r="B43" s="11" t="s">
        <v>85</v>
      </c>
      <c r="C43" s="12" t="s">
        <v>86</v>
      </c>
      <c r="D43" s="13"/>
      <c r="E43" s="13">
        <v>18982.580000000002</v>
      </c>
      <c r="F43" s="13">
        <v>20426.02</v>
      </c>
      <c r="G43" s="11" t="s">
        <v>61</v>
      </c>
    </row>
    <row r="44" spans="1:7" ht="15.75" customHeight="1" x14ac:dyDescent="0.3">
      <c r="A44" s="11" t="s">
        <v>87</v>
      </c>
      <c r="B44" s="11" t="s">
        <v>87</v>
      </c>
      <c r="C44" s="12" t="s">
        <v>88</v>
      </c>
      <c r="D44" s="13">
        <v>9900</v>
      </c>
      <c r="E44" s="13"/>
      <c r="F44" s="13">
        <v>10526.02</v>
      </c>
      <c r="G44" s="11" t="s">
        <v>61</v>
      </c>
    </row>
    <row r="45" spans="1:7" ht="15.75" customHeight="1" x14ac:dyDescent="0.3">
      <c r="A45" s="11" t="s">
        <v>89</v>
      </c>
      <c r="B45" s="11" t="s">
        <v>89</v>
      </c>
      <c r="C45" s="12" t="s">
        <v>90</v>
      </c>
      <c r="D45" s="13">
        <v>5000</v>
      </c>
      <c r="E45" s="13"/>
      <c r="F45" s="13">
        <v>5526.02</v>
      </c>
      <c r="G45" s="11" t="s">
        <v>61</v>
      </c>
    </row>
    <row r="46" spans="1:7" ht="15.75" customHeight="1" x14ac:dyDescent="0.3">
      <c r="A46" s="11" t="s">
        <v>91</v>
      </c>
      <c r="B46" s="11" t="s">
        <v>91</v>
      </c>
      <c r="C46" s="12" t="s">
        <v>92</v>
      </c>
      <c r="D46" s="13">
        <v>1500</v>
      </c>
      <c r="E46" s="13"/>
      <c r="F46" s="13">
        <v>4026.02</v>
      </c>
      <c r="G46" s="11" t="s">
        <v>61</v>
      </c>
    </row>
    <row r="47" spans="1:7" ht="15.75" customHeight="1" x14ac:dyDescent="0.3">
      <c r="A47" s="11" t="s">
        <v>91</v>
      </c>
      <c r="B47" s="11" t="s">
        <v>91</v>
      </c>
      <c r="C47" s="12" t="s">
        <v>93</v>
      </c>
      <c r="D47" s="13">
        <v>1350</v>
      </c>
      <c r="E47" s="13"/>
      <c r="F47" s="13">
        <v>2676.02</v>
      </c>
      <c r="G47" s="11" t="s">
        <v>61</v>
      </c>
    </row>
    <row r="48" spans="1:7" ht="15.75" customHeight="1" x14ac:dyDescent="0.3">
      <c r="A48" s="11" t="s">
        <v>94</v>
      </c>
      <c r="B48" s="11" t="s">
        <v>94</v>
      </c>
      <c r="C48" s="12" t="s">
        <v>95</v>
      </c>
      <c r="D48" s="13"/>
      <c r="E48" s="13">
        <v>464</v>
      </c>
      <c r="F48" s="13">
        <v>3140.02</v>
      </c>
      <c r="G48" s="11" t="s">
        <v>61</v>
      </c>
    </row>
    <row r="49" spans="1:7" ht="15.75" customHeight="1" x14ac:dyDescent="0.3">
      <c r="A49" s="11" t="s">
        <v>94</v>
      </c>
      <c r="B49" s="11" t="s">
        <v>94</v>
      </c>
      <c r="C49" s="12" t="s">
        <v>96</v>
      </c>
      <c r="D49" s="13"/>
      <c r="E49" s="13">
        <v>121.8</v>
      </c>
      <c r="F49" s="13">
        <v>3261.82</v>
      </c>
      <c r="G49" s="11" t="s">
        <v>61</v>
      </c>
    </row>
    <row r="50" spans="1:7" ht="15.75" customHeight="1" x14ac:dyDescent="0.3">
      <c r="A50" s="11" t="s">
        <v>94</v>
      </c>
      <c r="B50" s="11" t="s">
        <v>94</v>
      </c>
      <c r="C50" s="12" t="s">
        <v>97</v>
      </c>
      <c r="D50" s="13">
        <v>1.1200000000000001</v>
      </c>
      <c r="E50" s="13"/>
      <c r="F50" s="13">
        <v>3260.7</v>
      </c>
      <c r="G50" s="11" t="s">
        <v>61</v>
      </c>
    </row>
    <row r="51" spans="1:7" ht="15.75" customHeight="1" x14ac:dyDescent="0.3">
      <c r="A51" s="11" t="s">
        <v>94</v>
      </c>
      <c r="B51" s="11" t="s">
        <v>94</v>
      </c>
      <c r="C51" s="12" t="s">
        <v>98</v>
      </c>
      <c r="D51" s="13">
        <v>7</v>
      </c>
      <c r="E51" s="13"/>
      <c r="F51" s="13">
        <v>3253.7</v>
      </c>
      <c r="G51" s="11" t="s">
        <v>61</v>
      </c>
    </row>
    <row r="52" spans="1:7" ht="15.75" customHeight="1" x14ac:dyDescent="0.3">
      <c r="A52" s="11" t="s">
        <v>99</v>
      </c>
      <c r="B52" s="11" t="s">
        <v>99</v>
      </c>
      <c r="C52" s="12" t="s">
        <v>100</v>
      </c>
      <c r="D52" s="13"/>
      <c r="E52" s="13">
        <v>2088</v>
      </c>
      <c r="F52" s="13">
        <v>5341.7</v>
      </c>
      <c r="G52" s="11" t="s">
        <v>61</v>
      </c>
    </row>
    <row r="53" spans="1:7" ht="15.75" customHeight="1" x14ac:dyDescent="0.3">
      <c r="A53" s="11" t="s">
        <v>101</v>
      </c>
      <c r="B53" s="11" t="s">
        <v>101</v>
      </c>
      <c r="C53" s="12" t="s">
        <v>102</v>
      </c>
      <c r="D53" s="13">
        <v>2000</v>
      </c>
      <c r="E53" s="13"/>
      <c r="F53" s="13">
        <v>3341.7</v>
      </c>
      <c r="G53" s="11" t="s">
        <v>61</v>
      </c>
    </row>
    <row r="54" spans="1:7" ht="15.75" customHeight="1" x14ac:dyDescent="0.3">
      <c r="A54" s="11" t="s">
        <v>101</v>
      </c>
      <c r="B54" s="11" t="s">
        <v>101</v>
      </c>
      <c r="C54" s="12" t="s">
        <v>103</v>
      </c>
      <c r="D54" s="13">
        <v>2.4</v>
      </c>
      <c r="E54" s="13"/>
      <c r="F54" s="13">
        <v>3339.3</v>
      </c>
      <c r="G54" s="11" t="s">
        <v>61</v>
      </c>
    </row>
    <row r="55" spans="1:7" ht="15.75" customHeight="1" x14ac:dyDescent="0.3">
      <c r="A55" s="11" t="s">
        <v>101</v>
      </c>
      <c r="B55" s="11" t="s">
        <v>101</v>
      </c>
      <c r="C55" s="12" t="s">
        <v>104</v>
      </c>
      <c r="D55" s="13">
        <v>15</v>
      </c>
      <c r="E55" s="13"/>
      <c r="F55" s="13">
        <v>3324.3</v>
      </c>
      <c r="G55" s="11" t="s">
        <v>61</v>
      </c>
    </row>
    <row r="56" spans="1:7" ht="15.75" customHeight="1" x14ac:dyDescent="0.3">
      <c r="A56" s="11" t="s">
        <v>101</v>
      </c>
      <c r="B56" s="11" t="s">
        <v>101</v>
      </c>
      <c r="C56" s="12" t="s">
        <v>105</v>
      </c>
      <c r="D56" s="13">
        <v>2.4</v>
      </c>
      <c r="E56" s="13"/>
      <c r="F56" s="13">
        <v>3321.9</v>
      </c>
      <c r="G56" s="11" t="s">
        <v>61</v>
      </c>
    </row>
    <row r="57" spans="1:7" ht="15.75" customHeight="1" x14ac:dyDescent="0.3">
      <c r="A57" s="11" t="s">
        <v>101</v>
      </c>
      <c r="B57" s="11" t="s">
        <v>101</v>
      </c>
      <c r="C57" s="12" t="s">
        <v>106</v>
      </c>
      <c r="D57" s="13">
        <v>15</v>
      </c>
      <c r="E57" s="13"/>
      <c r="F57" s="13">
        <v>3306.9</v>
      </c>
      <c r="G57" s="11" t="s">
        <v>61</v>
      </c>
    </row>
    <row r="58" spans="1:7" ht="15.75" customHeight="1" x14ac:dyDescent="0.3">
      <c r="A58" s="11" t="s">
        <v>101</v>
      </c>
      <c r="B58" s="11" t="s">
        <v>101</v>
      </c>
      <c r="C58" s="12" t="s">
        <v>107</v>
      </c>
      <c r="D58" s="13">
        <v>1500</v>
      </c>
      <c r="E58" s="13"/>
      <c r="F58" s="13">
        <v>1806.9</v>
      </c>
      <c r="G58" s="11" t="s">
        <v>61</v>
      </c>
    </row>
    <row r="59" spans="1:7" ht="15.75" customHeight="1" x14ac:dyDescent="0.3">
      <c r="A59" s="11" t="s">
        <v>108</v>
      </c>
      <c r="B59" s="11" t="s">
        <v>108</v>
      </c>
      <c r="C59" s="12" t="s">
        <v>109</v>
      </c>
      <c r="D59" s="13"/>
      <c r="E59" s="13">
        <v>274.05</v>
      </c>
      <c r="F59" s="13">
        <v>2080.9499999999998</v>
      </c>
      <c r="G59" s="11" t="s">
        <v>61</v>
      </c>
    </row>
    <row r="60" spans="1:7" ht="15.75" customHeight="1" x14ac:dyDescent="0.3">
      <c r="A60" s="11" t="s">
        <v>108</v>
      </c>
      <c r="B60" s="11" t="s">
        <v>108</v>
      </c>
      <c r="C60" s="12" t="s">
        <v>110</v>
      </c>
      <c r="D60" s="13"/>
      <c r="E60" s="13">
        <v>1616.9</v>
      </c>
      <c r="F60" s="13">
        <v>3697.85</v>
      </c>
      <c r="G60" s="11" t="s">
        <v>61</v>
      </c>
    </row>
    <row r="61" spans="1:7" ht="15.75" customHeight="1" x14ac:dyDescent="0.3">
      <c r="A61" s="11" t="s">
        <v>111</v>
      </c>
      <c r="B61" s="11" t="s">
        <v>112</v>
      </c>
      <c r="C61" s="12" t="s">
        <v>113</v>
      </c>
      <c r="D61" s="13">
        <v>1.1200000000000001</v>
      </c>
      <c r="E61" s="13"/>
      <c r="F61" s="13">
        <v>3696.73</v>
      </c>
      <c r="G61" s="11" t="s">
        <v>61</v>
      </c>
    </row>
    <row r="62" spans="1:7" ht="15.75" customHeight="1" x14ac:dyDescent="0.3">
      <c r="A62" s="11" t="s">
        <v>111</v>
      </c>
      <c r="B62" s="11" t="s">
        <v>112</v>
      </c>
      <c r="C62" s="12" t="s">
        <v>114</v>
      </c>
      <c r="D62" s="13">
        <v>7</v>
      </c>
      <c r="E62" s="13"/>
      <c r="F62" s="13">
        <v>3689.73</v>
      </c>
      <c r="G62" s="11" t="s">
        <v>61</v>
      </c>
    </row>
    <row r="63" spans="1:7" ht="15.75" customHeight="1" x14ac:dyDescent="0.3">
      <c r="A63" s="11" t="s">
        <v>115</v>
      </c>
      <c r="B63" s="11" t="s">
        <v>115</v>
      </c>
      <c r="C63" s="12" t="s">
        <v>116</v>
      </c>
      <c r="D63" s="13">
        <v>2010</v>
      </c>
      <c r="E63" s="13"/>
      <c r="F63" s="13">
        <v>1679.73</v>
      </c>
      <c r="G63" s="11" t="s">
        <v>61</v>
      </c>
    </row>
    <row r="64" spans="1:7" ht="15.75" customHeight="1" x14ac:dyDescent="0.3">
      <c r="A64" s="11" t="s">
        <v>117</v>
      </c>
      <c r="B64" s="11" t="s">
        <v>117</v>
      </c>
      <c r="C64" s="12" t="s">
        <v>118</v>
      </c>
      <c r="D64" s="13"/>
      <c r="E64" s="13">
        <v>274.05</v>
      </c>
      <c r="F64" s="13">
        <v>1953.78</v>
      </c>
      <c r="G64" s="11" t="s">
        <v>61</v>
      </c>
    </row>
    <row r="65" spans="1:7" ht="46.2" customHeight="1" x14ac:dyDescent="0.3">
      <c r="A65" s="11" t="s">
        <v>117</v>
      </c>
      <c r="B65" s="11" t="s">
        <v>117</v>
      </c>
      <c r="C65" s="12" t="s">
        <v>119</v>
      </c>
      <c r="D65" s="13"/>
      <c r="E65" s="13">
        <v>1616.9</v>
      </c>
      <c r="F65" s="13">
        <v>3570.68</v>
      </c>
      <c r="G65" s="11" t="s">
        <v>61</v>
      </c>
    </row>
    <row r="66" spans="1:7" ht="54" customHeight="1" x14ac:dyDescent="0.3">
      <c r="A66" s="11" t="s">
        <v>120</v>
      </c>
      <c r="B66" s="11" t="s">
        <v>120</v>
      </c>
      <c r="C66" s="12" t="s">
        <v>121</v>
      </c>
      <c r="D66" s="13">
        <v>1000</v>
      </c>
      <c r="E66" s="13"/>
      <c r="F66" s="13">
        <v>2570.6799999999998</v>
      </c>
      <c r="G66" s="11" t="s">
        <v>61</v>
      </c>
    </row>
    <row r="67" spans="1:7" ht="15.75" customHeight="1" x14ac:dyDescent="0.3">
      <c r="A67" s="11" t="s">
        <v>120</v>
      </c>
      <c r="B67" s="11" t="s">
        <v>120</v>
      </c>
      <c r="C67" s="12" t="s">
        <v>122</v>
      </c>
      <c r="D67" s="13">
        <v>1500</v>
      </c>
      <c r="E67" s="13"/>
      <c r="F67" s="13">
        <v>1070.68</v>
      </c>
      <c r="G67" s="11" t="s">
        <v>61</v>
      </c>
    </row>
    <row r="68" spans="1:7" ht="37.200000000000003" customHeight="1" x14ac:dyDescent="0.3">
      <c r="A68" s="11" t="s">
        <v>123</v>
      </c>
      <c r="B68" s="11" t="s">
        <v>123</v>
      </c>
      <c r="C68" s="12" t="s">
        <v>124</v>
      </c>
      <c r="D68" s="13"/>
      <c r="E68" s="13">
        <v>2088</v>
      </c>
      <c r="F68" s="13">
        <v>3158.68</v>
      </c>
      <c r="G68" s="11" t="s">
        <v>61</v>
      </c>
    </row>
    <row r="69" spans="1:7" ht="37.799999999999997" customHeight="1" x14ac:dyDescent="0.3">
      <c r="A69" s="11" t="s">
        <v>123</v>
      </c>
      <c r="B69" s="11" t="s">
        <v>123</v>
      </c>
      <c r="C69" s="12" t="s">
        <v>125</v>
      </c>
      <c r="D69" s="13"/>
      <c r="E69" s="13">
        <v>1616.9</v>
      </c>
      <c r="F69" s="13">
        <v>4775.58</v>
      </c>
      <c r="G69" s="11" t="s">
        <v>61</v>
      </c>
    </row>
    <row r="70" spans="1:7" ht="39" customHeight="1" x14ac:dyDescent="0.3">
      <c r="A70" s="11" t="s">
        <v>126</v>
      </c>
      <c r="B70" s="11" t="s">
        <v>126</v>
      </c>
      <c r="C70" s="12" t="s">
        <v>127</v>
      </c>
      <c r="D70" s="13">
        <v>2680</v>
      </c>
      <c r="E70" s="13"/>
      <c r="F70" s="13">
        <v>2095.58</v>
      </c>
      <c r="G70" s="11" t="s">
        <v>61</v>
      </c>
    </row>
    <row r="71" spans="1:7" ht="15.75" customHeight="1" x14ac:dyDescent="0.3">
      <c r="A71" s="11" t="s">
        <v>128</v>
      </c>
      <c r="B71" s="11" t="s">
        <v>128</v>
      </c>
      <c r="C71" s="12" t="s">
        <v>129</v>
      </c>
      <c r="D71" s="13">
        <v>6.4</v>
      </c>
      <c r="E71" s="13"/>
      <c r="F71" s="13">
        <v>2089.1799999999998</v>
      </c>
      <c r="G71" s="11" t="s">
        <v>61</v>
      </c>
    </row>
    <row r="72" spans="1:7" ht="15.75" customHeight="1" x14ac:dyDescent="0.3">
      <c r="A72" s="11" t="s">
        <v>128</v>
      </c>
      <c r="B72" s="11" t="s">
        <v>128</v>
      </c>
      <c r="C72" s="12" t="s">
        <v>130</v>
      </c>
      <c r="D72" s="13">
        <v>40</v>
      </c>
      <c r="E72" s="13"/>
      <c r="F72" s="13">
        <v>2049.1799999999998</v>
      </c>
      <c r="G72" s="11" t="s">
        <v>61</v>
      </c>
    </row>
    <row r="73" spans="1:7" ht="15.75" customHeight="1" x14ac:dyDescent="0.3">
      <c r="A73" s="11" t="s">
        <v>128</v>
      </c>
      <c r="B73" s="11" t="s">
        <v>128</v>
      </c>
      <c r="C73" s="12" t="s">
        <v>131</v>
      </c>
      <c r="D73" s="13">
        <v>1063</v>
      </c>
      <c r="E73" s="13"/>
      <c r="F73" s="13">
        <v>986.18</v>
      </c>
      <c r="G73" s="11" t="s">
        <v>61</v>
      </c>
    </row>
    <row r="74" spans="1:7" ht="15.75" customHeight="1" x14ac:dyDescent="0.3">
      <c r="A74" s="11" t="s">
        <v>128</v>
      </c>
      <c r="B74" s="11" t="s">
        <v>132</v>
      </c>
      <c r="C74" s="12" t="s">
        <v>133</v>
      </c>
      <c r="D74" s="13">
        <v>1.1200000000000001</v>
      </c>
      <c r="E74" s="13"/>
      <c r="F74" s="13">
        <v>985.06</v>
      </c>
      <c r="G74" s="11" t="s">
        <v>61</v>
      </c>
    </row>
    <row r="75" spans="1:7" ht="15.75" customHeight="1" x14ac:dyDescent="0.3">
      <c r="A75" s="11" t="s">
        <v>128</v>
      </c>
      <c r="B75" s="11" t="s">
        <v>132</v>
      </c>
      <c r="C75" s="12" t="s">
        <v>134</v>
      </c>
      <c r="D75" s="13">
        <v>7</v>
      </c>
      <c r="E75" s="13"/>
      <c r="F75" s="13">
        <v>978.06</v>
      </c>
      <c r="G75" s="11" t="s">
        <v>61</v>
      </c>
    </row>
    <row r="76" spans="1:7" x14ac:dyDescent="0.3">
      <c r="A76" s="2" t="s">
        <v>135</v>
      </c>
      <c r="B76" s="2"/>
      <c r="C76" s="2"/>
      <c r="D76" s="15">
        <f>SUM(D11:D75)</f>
        <v>53856.040000000008</v>
      </c>
      <c r="E76" s="15">
        <f>SUM(E11:E75)</f>
        <v>54810.530000000013</v>
      </c>
      <c r="F76" s="16"/>
      <c r="G76" s="16"/>
    </row>
    <row r="77" spans="1:7" ht="99.75" customHeight="1" x14ac:dyDescent="0.3">
      <c r="A77" s="1" t="s">
        <v>136</v>
      </c>
      <c r="B77" s="1"/>
      <c r="C77" s="1"/>
      <c r="D77" s="1"/>
      <c r="E77" s="1"/>
      <c r="F77" s="1"/>
      <c r="G77" s="1"/>
    </row>
  </sheetData>
  <mergeCells count="21">
    <mergeCell ref="A76:C76"/>
    <mergeCell ref="A77:G77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2026-08-05T18:22:48Z</dcterms:created>
  <dcterms:modified xsi:type="dcterms:W3CDTF">2026-08-05T18:25:21Z</dcterms:modified>
  <dc:language>en-US</dc:language>
</cp:coreProperties>
</file>