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2116" windowHeight="9288" activeTab="5"/>
  </bookViews>
  <sheets>
    <sheet name="062026" sheetId="8" r:id="rId1"/>
    <sheet name="052026" sheetId="7" r:id="rId2"/>
    <sheet name="042026" sheetId="6" r:id="rId3"/>
    <sheet name="032026" sheetId="5" r:id="rId4"/>
    <sheet name="022026" sheetId="4" r:id="rId5"/>
    <sheet name="012026" sheetId="1" r:id="rId6"/>
  </sheets>
  <calcPr calcId="144525"/>
</workbook>
</file>

<file path=xl/calcChain.xml><?xml version="1.0" encoding="utf-8"?>
<calcChain xmlns="http://schemas.openxmlformats.org/spreadsheetml/2006/main">
  <c r="J5" i="8" l="1"/>
  <c r="D5" i="8"/>
  <c r="I294" i="7" l="1"/>
  <c r="I295" i="7" s="1"/>
  <c r="I296" i="7" s="1"/>
  <c r="I297" i="7" s="1"/>
  <c r="I293" i="7"/>
  <c r="F293" i="7"/>
  <c r="F294" i="7" s="1"/>
  <c r="F295" i="7" s="1"/>
  <c r="F296" i="7" s="1"/>
  <c r="F297" i="7" s="1"/>
  <c r="F275" i="7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I274" i="7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F274" i="7"/>
  <c r="I265" i="7"/>
  <c r="I266" i="7" s="1"/>
  <c r="I267" i="7" s="1"/>
  <c r="I268" i="7" s="1"/>
  <c r="I269" i="7" s="1"/>
  <c r="I270" i="7" s="1"/>
  <c r="I271" i="7" s="1"/>
  <c r="I272" i="7" s="1"/>
  <c r="I273" i="7" s="1"/>
  <c r="F265" i="7"/>
  <c r="F266" i="7" s="1"/>
  <c r="F267" i="7" s="1"/>
  <c r="F268" i="7" s="1"/>
  <c r="F269" i="7" s="1"/>
  <c r="F270" i="7" s="1"/>
  <c r="F271" i="7" s="1"/>
  <c r="F272" i="7" s="1"/>
  <c r="F273" i="7" s="1"/>
  <c r="I250" i="7"/>
  <c r="I251" i="7" s="1"/>
  <c r="I252" i="7" s="1"/>
  <c r="I253" i="7" s="1"/>
  <c r="I254" i="7" s="1"/>
  <c r="I255" i="7" s="1"/>
  <c r="I256" i="7" s="1"/>
  <c r="I257" i="7" s="1"/>
  <c r="I258" i="7" s="1"/>
  <c r="I259" i="7" s="1"/>
  <c r="I260" i="7" s="1"/>
  <c r="I261" i="7" s="1"/>
  <c r="I262" i="7" s="1"/>
  <c r="I263" i="7" s="1"/>
  <c r="I264" i="7" s="1"/>
  <c r="I249" i="7"/>
  <c r="I248" i="7"/>
  <c r="F248" i="7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I247" i="7"/>
  <c r="F247" i="7"/>
  <c r="F236" i="7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L235" i="7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I235" i="7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F235" i="7"/>
  <c r="L220" i="7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I220" i="7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L219" i="7"/>
  <c r="I219" i="7"/>
  <c r="F219" i="7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I213" i="7"/>
  <c r="I214" i="7" s="1"/>
  <c r="I215" i="7" s="1"/>
  <c r="I216" i="7" s="1"/>
  <c r="I217" i="7" s="1"/>
  <c r="I218" i="7" s="1"/>
  <c r="F213" i="7"/>
  <c r="F214" i="7" s="1"/>
  <c r="F215" i="7" s="1"/>
  <c r="F216" i="7" s="1"/>
  <c r="F217" i="7" s="1"/>
  <c r="F218" i="7" s="1"/>
  <c r="L212" i="7"/>
  <c r="L213" i="7" s="1"/>
  <c r="L214" i="7" s="1"/>
  <c r="L215" i="7" s="1"/>
  <c r="L216" i="7" s="1"/>
  <c r="L217" i="7" s="1"/>
  <c r="L218" i="7" s="1"/>
  <c r="I212" i="7"/>
  <c r="F212" i="7"/>
  <c r="L192" i="7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I192" i="7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F192" i="7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L181" i="7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80" i="7"/>
  <c r="I180" i="7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L179" i="7"/>
  <c r="I179" i="7"/>
  <c r="F179" i="7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L162" i="7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I162" i="7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F162" i="7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L161" i="7"/>
  <c r="I161" i="7"/>
  <c r="F161" i="7"/>
  <c r="F143" i="7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L142" i="7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I142" i="7"/>
  <c r="I143" i="7" s="1"/>
  <c r="I144" i="7" s="1"/>
  <c r="I145" i="7" s="1"/>
  <c r="I146" i="7" s="1"/>
  <c r="I147" i="7" s="1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F142" i="7"/>
  <c r="L130" i="7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29" i="7"/>
  <c r="I129" i="7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F129" i="7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L113" i="7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I113" i="7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F113" i="7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L101" i="7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I101" i="7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F101" i="7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L86" i="7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I86" i="7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F86" i="7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L85" i="7"/>
  <c r="I85" i="7"/>
  <c r="F85" i="7"/>
  <c r="L84" i="7"/>
  <c r="I84" i="7"/>
  <c r="F84" i="7"/>
  <c r="L83" i="7"/>
  <c r="I83" i="7"/>
  <c r="F83" i="7"/>
  <c r="L71" i="7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I71" i="7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L70" i="7"/>
  <c r="I70" i="7"/>
  <c r="F70" i="7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L53" i="7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I53" i="7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L52" i="7"/>
  <c r="I52" i="7"/>
  <c r="F52" i="7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L46" i="7"/>
  <c r="L47" i="7" s="1"/>
  <c r="L48" i="7" s="1"/>
  <c r="L49" i="7" s="1"/>
  <c r="L50" i="7" s="1"/>
  <c r="L51" i="7" s="1"/>
  <c r="I46" i="7"/>
  <c r="I47" i="7" s="1"/>
  <c r="I48" i="7" s="1"/>
  <c r="I49" i="7" s="1"/>
  <c r="I50" i="7" s="1"/>
  <c r="I51" i="7" s="1"/>
  <c r="F46" i="7"/>
  <c r="F47" i="7" s="1"/>
  <c r="F48" i="7" s="1"/>
  <c r="F49" i="7" s="1"/>
  <c r="F50" i="7" s="1"/>
  <c r="F51" i="7" s="1"/>
  <c r="L26" i="7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25" i="7"/>
  <c r="I25" i="7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L8" i="7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I8" i="7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F8" i="7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L7" i="7"/>
  <c r="I7" i="7"/>
  <c r="F7" i="7"/>
  <c r="L6" i="7"/>
  <c r="I6" i="7"/>
  <c r="F6" i="7"/>
  <c r="L330" i="6" l="1"/>
  <c r="I330" i="6"/>
  <c r="F330" i="6"/>
  <c r="F223" i="5" l="1"/>
  <c r="F224" i="5"/>
  <c r="F222" i="5" l="1"/>
  <c r="I6" i="6" l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6" i="5" l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L266" i="4" l="1"/>
  <c r="I266" i="4"/>
  <c r="L255" i="1" l="1"/>
  <c r="I255" i="1"/>
  <c r="F255" i="1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l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L24" i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I87" i="4" l="1"/>
  <c r="I88" i="4" s="1"/>
  <c r="I89" i="4" s="1"/>
  <c r="I90" i="4" s="1"/>
  <c r="I91" i="4" s="1"/>
  <c r="I99" i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L44" i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I93" i="4" l="1"/>
  <c r="I94" i="4" s="1"/>
  <c r="I95" i="4" s="1"/>
  <c r="I96" i="4" s="1"/>
  <c r="I97" i="4" s="1"/>
  <c r="I98" i="4" s="1"/>
  <c r="I99" i="4" s="1"/>
  <c r="I100" i="4" s="1"/>
  <c r="I101" i="4" s="1"/>
  <c r="I102" i="4" s="1"/>
  <c r="I92" i="4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I147" i="1"/>
  <c r="I148" i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L147" i="1"/>
  <c r="L148" i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I232" i="1" l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31" i="1"/>
  <c r="F233" i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L231" i="1"/>
  <c r="I304" i="8" l="1"/>
  <c r="I305" i="8" s="1"/>
  <c r="I306" i="8" s="1"/>
  <c r="I307" i="8" s="1"/>
  <c r="I303" i="8"/>
  <c r="I283" i="8"/>
  <c r="I284" i="8" s="1"/>
  <c r="I285" i="8" s="1"/>
  <c r="I286" i="8" s="1"/>
  <c r="I287" i="8" s="1"/>
  <c r="I288" i="8" s="1"/>
  <c r="I289" i="8" s="1"/>
  <c r="I290" i="8" s="1"/>
  <c r="I291" i="8" s="1"/>
  <c r="I292" i="8" s="1"/>
  <c r="I293" i="8" s="1"/>
  <c r="I294" i="8" s="1"/>
  <c r="I295" i="8" s="1"/>
  <c r="I296" i="8" s="1"/>
  <c r="I297" i="8" s="1"/>
  <c r="I298" i="8" s="1"/>
  <c r="I299" i="8" s="1"/>
  <c r="I300" i="8" s="1"/>
  <c r="I301" i="8" s="1"/>
  <c r="I302" i="8" s="1"/>
  <c r="I279" i="8"/>
  <c r="I280" i="8" s="1"/>
  <c r="I281" i="8" s="1"/>
  <c r="I282" i="8" s="1"/>
  <c r="I278" i="8"/>
  <c r="I277" i="8"/>
  <c r="I261" i="8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47" i="8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37" i="8"/>
  <c r="I238" i="8" s="1"/>
  <c r="I239" i="8" s="1"/>
  <c r="I240" i="8" s="1"/>
  <c r="I241" i="8" s="1"/>
  <c r="I242" i="8" s="1"/>
  <c r="I243" i="8" s="1"/>
  <c r="I244" i="8" s="1"/>
  <c r="I245" i="8" s="1"/>
  <c r="I246" i="8" s="1"/>
  <c r="I229" i="8"/>
  <c r="I230" i="8" s="1"/>
  <c r="I231" i="8" s="1"/>
  <c r="I232" i="8" s="1"/>
  <c r="I233" i="8" s="1"/>
  <c r="I234" i="8" s="1"/>
  <c r="I235" i="8" s="1"/>
  <c r="I236" i="8" s="1"/>
  <c r="I221" i="8"/>
  <c r="I222" i="8" s="1"/>
  <c r="I223" i="8" s="1"/>
  <c r="I224" i="8" s="1"/>
  <c r="I225" i="8" s="1"/>
  <c r="I226" i="8" s="1"/>
  <c r="I227" i="8" s="1"/>
  <c r="I228" i="8" s="1"/>
  <c r="I194" i="8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184" i="8"/>
  <c r="I185" i="8" s="1"/>
  <c r="I186" i="8" s="1"/>
  <c r="I187" i="8" s="1"/>
  <c r="I188" i="8" s="1"/>
  <c r="I189" i="8" s="1"/>
  <c r="I190" i="8" s="1"/>
  <c r="I191" i="8" s="1"/>
  <c r="I192" i="8" s="1"/>
  <c r="I193" i="8" s="1"/>
  <c r="I183" i="8"/>
  <c r="I172" i="8"/>
  <c r="I173" i="8" s="1"/>
  <c r="I174" i="8" s="1"/>
  <c r="I175" i="8" s="1"/>
  <c r="I176" i="8" s="1"/>
  <c r="I177" i="8" s="1"/>
  <c r="I178" i="8" s="1"/>
  <c r="I179" i="8" s="1"/>
  <c r="I180" i="8" s="1"/>
  <c r="I181" i="8" s="1"/>
  <c r="I182" i="8" s="1"/>
  <c r="I148" i="8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47" i="8"/>
  <c r="I131" i="8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30" i="8"/>
  <c r="I117" i="8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16" i="8"/>
  <c r="I104" i="8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97" i="8"/>
  <c r="I98" i="8" s="1"/>
  <c r="I99" i="8" s="1"/>
  <c r="I100" i="8" s="1"/>
  <c r="I101" i="8" s="1"/>
  <c r="I102" i="8" s="1"/>
  <c r="I103" i="8" s="1"/>
  <c r="I66" i="8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47" i="8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40" i="8"/>
  <c r="I41" i="8" s="1"/>
  <c r="I42" i="8" s="1"/>
  <c r="I43" i="8" s="1"/>
  <c r="I44" i="8" s="1"/>
  <c r="I45" i="8" s="1"/>
  <c r="I46" i="8" s="1"/>
  <c r="I37" i="8"/>
  <c r="I38" i="8" s="1"/>
  <c r="I39" i="8" s="1"/>
  <c r="I36" i="8"/>
  <c r="I29" i="8"/>
  <c r="I30" i="8" s="1"/>
  <c r="I31" i="8" s="1"/>
  <c r="I32" i="8" s="1"/>
  <c r="I33" i="8" s="1"/>
  <c r="I34" i="8" s="1"/>
  <c r="I35" i="8" s="1"/>
  <c r="I6" i="8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131" i="8" s="1"/>
  <c r="L132" i="8" s="1"/>
  <c r="L133" i="8" s="1"/>
  <c r="L134" i="8" s="1"/>
  <c r="L135" i="8" s="1"/>
  <c r="L136" i="8" s="1"/>
  <c r="L137" i="8" s="1"/>
  <c r="L138" i="8" s="1"/>
  <c r="L139" i="8" s="1"/>
  <c r="L140" i="8" s="1"/>
  <c r="L141" i="8" s="1"/>
  <c r="L142" i="8" s="1"/>
  <c r="L143" i="8" s="1"/>
  <c r="L144" i="8" s="1"/>
  <c r="L145" i="8" s="1"/>
  <c r="L146" i="8" s="1"/>
  <c r="L147" i="8" s="1"/>
  <c r="L148" i="8" s="1"/>
  <c r="L149" i="8" s="1"/>
  <c r="L150" i="8" s="1"/>
  <c r="L151" i="8" s="1"/>
  <c r="L152" i="8" s="1"/>
  <c r="L153" i="8" s="1"/>
  <c r="L154" i="8" s="1"/>
  <c r="L155" i="8" s="1"/>
  <c r="L156" i="8" s="1"/>
  <c r="L157" i="8" s="1"/>
  <c r="L158" i="8" s="1"/>
  <c r="L159" i="8" s="1"/>
  <c r="L160" i="8" s="1"/>
  <c r="L161" i="8" s="1"/>
  <c r="L162" i="8" s="1"/>
  <c r="L163" i="8" s="1"/>
  <c r="L164" i="8" s="1"/>
  <c r="L165" i="8" s="1"/>
  <c r="L166" i="8" s="1"/>
  <c r="L167" i="8" s="1"/>
  <c r="L168" i="8" s="1"/>
  <c r="L169" i="8" s="1"/>
  <c r="L170" i="8" s="1"/>
  <c r="L171" i="8" s="1"/>
  <c r="L172" i="8" s="1"/>
  <c r="L173" i="8" s="1"/>
  <c r="L174" i="8" s="1"/>
  <c r="L175" i="8" s="1"/>
  <c r="L176" i="8" s="1"/>
  <c r="L177" i="8" s="1"/>
  <c r="L178" i="8" s="1"/>
  <c r="L179" i="8" s="1"/>
  <c r="L180" i="8" s="1"/>
  <c r="L181" i="8" s="1"/>
  <c r="L182" i="8" s="1"/>
  <c r="L183" i="8" s="1"/>
  <c r="L184" i="8" s="1"/>
  <c r="L185" i="8" s="1"/>
  <c r="L186" i="8" s="1"/>
  <c r="L187" i="8" s="1"/>
  <c r="L188" i="8" s="1"/>
  <c r="L189" i="8" s="1"/>
  <c r="L190" i="8" s="1"/>
  <c r="L191" i="8" s="1"/>
  <c r="L192" i="8" s="1"/>
  <c r="L193" i="8" s="1"/>
  <c r="L194" i="8" s="1"/>
  <c r="L195" i="8" s="1"/>
  <c r="L196" i="8" s="1"/>
  <c r="L197" i="8" s="1"/>
  <c r="L198" i="8" s="1"/>
  <c r="L199" i="8" s="1"/>
  <c r="L200" i="8" s="1"/>
  <c r="L201" i="8" s="1"/>
  <c r="L202" i="8" s="1"/>
  <c r="L203" i="8" s="1"/>
  <c r="L204" i="8" s="1"/>
  <c r="L205" i="8" s="1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F5" i="8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I308" i="8" l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I327" i="8" s="1"/>
  <c r="I328" i="8" s="1"/>
  <c r="I329" i="8" s="1"/>
  <c r="I330" i="8" s="1"/>
  <c r="I331" i="8" s="1"/>
  <c r="I332" i="8" s="1"/>
  <c r="I333" i="8" s="1"/>
  <c r="I334" i="8" s="1"/>
  <c r="I335" i="8" s="1"/>
  <c r="I336" i="8" s="1"/>
  <c r="I337" i="8" s="1"/>
  <c r="I338" i="8" s="1"/>
  <c r="I339" i="8" s="1"/>
  <c r="I340" i="8" s="1"/>
  <c r="I341" i="8" s="1"/>
  <c r="I342" i="8" s="1"/>
  <c r="I343" i="8" s="1"/>
  <c r="I344" i="8" s="1"/>
  <c r="I345" i="8" s="1"/>
  <c r="I346" i="8" s="1"/>
  <c r="I347" i="8" s="1"/>
  <c r="I348" i="8" s="1"/>
  <c r="I349" i="8" s="1"/>
  <c r="I350" i="8" s="1"/>
  <c r="I351" i="8" s="1"/>
  <c r="I352" i="8" s="1"/>
  <c r="I353" i="8" s="1"/>
  <c r="I354" i="8" s="1"/>
  <c r="I355" i="8" s="1"/>
  <c r="I356" i="8" s="1"/>
  <c r="I357" i="8" s="1"/>
  <c r="I358" i="8" s="1"/>
  <c r="I359" i="8" s="1"/>
  <c r="I360" i="8" s="1"/>
  <c r="I361" i="8" s="1"/>
  <c r="I362" i="8" s="1"/>
  <c r="I363" i="8" s="1"/>
  <c r="I364" i="8" s="1"/>
  <c r="I365" i="8" s="1"/>
  <c r="I366" i="8" s="1"/>
  <c r="I367" i="8" s="1"/>
  <c r="I368" i="8" s="1"/>
  <c r="I369" i="8" s="1"/>
  <c r="I370" i="8" s="1"/>
  <c r="I371" i="8" s="1"/>
  <c r="I372" i="8" s="1"/>
  <c r="I373" i="8" s="1"/>
  <c r="I374" i="8" s="1"/>
  <c r="I375" i="8" s="1"/>
  <c r="I376" i="8" s="1"/>
  <c r="I377" i="8" s="1"/>
  <c r="I378" i="8" s="1"/>
  <c r="F308" i="8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L308" i="8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L327" i="8" s="1"/>
  <c r="L328" i="8" s="1"/>
  <c r="L329" i="8" s="1"/>
  <c r="L330" i="8" s="1"/>
  <c r="L331" i="8" s="1"/>
  <c r="L332" i="8" s="1"/>
  <c r="L333" i="8" s="1"/>
  <c r="L334" i="8" s="1"/>
  <c r="L335" i="8" s="1"/>
  <c r="L336" i="8" s="1"/>
  <c r="L337" i="8" s="1"/>
  <c r="L338" i="8" s="1"/>
  <c r="L339" i="8" s="1"/>
  <c r="L340" i="8" s="1"/>
  <c r="L341" i="8" s="1"/>
  <c r="L342" i="8" s="1"/>
  <c r="L343" i="8" s="1"/>
  <c r="L344" i="8" s="1"/>
  <c r="L345" i="8" s="1"/>
  <c r="L346" i="8" s="1"/>
  <c r="L347" i="8" s="1"/>
  <c r="L348" i="8" s="1"/>
  <c r="L349" i="8" s="1"/>
  <c r="L350" i="8" s="1"/>
  <c r="L351" i="8" s="1"/>
  <c r="L352" i="8" s="1"/>
  <c r="L353" i="8" s="1"/>
  <c r="L354" i="8" s="1"/>
  <c r="L355" i="8" s="1"/>
  <c r="L356" i="8" s="1"/>
  <c r="L357" i="8" s="1"/>
  <c r="L358" i="8" s="1"/>
  <c r="L359" i="8" s="1"/>
  <c r="L360" i="8" s="1"/>
  <c r="L361" i="8" s="1"/>
  <c r="L362" i="8" s="1"/>
  <c r="L363" i="8" s="1"/>
  <c r="L364" i="8" s="1"/>
  <c r="L365" i="8" s="1"/>
  <c r="L366" i="8" s="1"/>
  <c r="L367" i="8" s="1"/>
  <c r="L368" i="8" s="1"/>
  <c r="L369" i="8" s="1"/>
  <c r="L370" i="8" s="1"/>
  <c r="L371" i="8" s="1"/>
  <c r="L372" i="8" s="1"/>
  <c r="L373" i="8" s="1"/>
  <c r="L374" i="8" s="1"/>
  <c r="L375" i="8" s="1"/>
  <c r="L376" i="8" s="1"/>
  <c r="L377" i="8" s="1"/>
  <c r="L378" i="8" s="1"/>
  <c r="L5" i="7" l="1"/>
  <c r="I298" i="7" l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I327" i="7" s="1"/>
  <c r="I328" i="7" s="1"/>
  <c r="I329" i="7" s="1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59" i="7" s="1"/>
  <c r="I360" i="7" s="1"/>
  <c r="I361" i="7" s="1"/>
  <c r="I362" i="7" s="1"/>
  <c r="I363" i="7" s="1"/>
  <c r="I364" i="7" s="1"/>
  <c r="I365" i="7" s="1"/>
  <c r="I366" i="7" s="1"/>
  <c r="I367" i="7" s="1"/>
  <c r="I368" i="7" s="1"/>
  <c r="I369" i="7" s="1"/>
  <c r="I370" i="7" s="1"/>
  <c r="I371" i="7" s="1"/>
  <c r="I372" i="7" s="1"/>
  <c r="I373" i="7" s="1"/>
  <c r="I374" i="7" s="1"/>
  <c r="I375" i="7" s="1"/>
  <c r="I376" i="7" s="1"/>
  <c r="I377" i="7" s="1"/>
  <c r="I378" i="7" s="1"/>
  <c r="L298" i="7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I23" i="6"/>
  <c r="I24" i="6" l="1"/>
  <c r="I25" i="6" s="1"/>
  <c r="I26" i="6" s="1"/>
  <c r="I27" i="6" s="1"/>
  <c r="I28" i="6" s="1"/>
  <c r="I29" i="6" s="1"/>
  <c r="I30" i="6" s="1"/>
  <c r="I31" i="6" s="1"/>
  <c r="I32" i="6" s="1"/>
  <c r="I331" i="6"/>
  <c r="I33" i="6" l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I61" i="6" l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F5" i="4"/>
  <c r="I254" i="1"/>
  <c r="I74" i="6" l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L87" i="4"/>
  <c r="L88" i="4" s="1"/>
  <c r="L89" i="4" s="1"/>
  <c r="L266" i="5"/>
  <c r="L267" i="5" s="1"/>
  <c r="I266" i="5"/>
  <c r="I267" i="5" s="1"/>
  <c r="L254" i="1"/>
  <c r="F254" i="1"/>
  <c r="I85" i="6" l="1"/>
  <c r="I86" i="6" s="1"/>
  <c r="I87" i="6" s="1"/>
  <c r="F89" i="4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L90" i="4"/>
  <c r="L91" i="4" s="1"/>
  <c r="I268" i="5"/>
  <c r="L268" i="5"/>
  <c r="J5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I103" i="4"/>
  <c r="I88" i="6" l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L24" i="6"/>
  <c r="L25" i="6" s="1"/>
  <c r="L26" i="6" s="1"/>
  <c r="L27" i="6" s="1"/>
  <c r="L28" i="6" s="1"/>
  <c r="L29" i="6" s="1"/>
  <c r="L30" i="6" s="1"/>
  <c r="L31" i="6" s="1"/>
  <c r="L32" i="6" s="1"/>
  <c r="F104" i="4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I104" i="4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L92" i="4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F266" i="5"/>
  <c r="I99" i="6" l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L33" i="6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F267" i="5"/>
  <c r="F268" i="5" s="1"/>
  <c r="D5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L104" i="4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I130" i="4"/>
  <c r="I131" i="4" s="1"/>
  <c r="I132" i="4" s="1"/>
  <c r="I133" i="4" s="1"/>
  <c r="F130" i="4"/>
  <c r="F131" i="4" s="1"/>
  <c r="F132" i="4" s="1"/>
  <c r="F133" i="4" s="1"/>
  <c r="I135" i="6" l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L61" i="6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F24" i="6"/>
  <c r="F25" i="6" s="1"/>
  <c r="F26" i="6" s="1"/>
  <c r="F27" i="6" s="1"/>
  <c r="F28" i="6" s="1"/>
  <c r="F29" i="6" s="1"/>
  <c r="F30" i="6" s="1"/>
  <c r="F31" i="6" s="1"/>
  <c r="F32" i="6" s="1"/>
  <c r="F134" i="4"/>
  <c r="F135" i="4" s="1"/>
  <c r="F136" i="4" s="1"/>
  <c r="F137" i="4" s="1"/>
  <c r="F138" i="4" s="1"/>
  <c r="F139" i="4" s="1"/>
  <c r="F140" i="4" s="1"/>
  <c r="F141" i="4" s="1"/>
  <c r="I134" i="4"/>
  <c r="I135" i="4" s="1"/>
  <c r="I136" i="4" s="1"/>
  <c r="I137" i="4" s="1"/>
  <c r="I138" i="4" s="1"/>
  <c r="I139" i="4" s="1"/>
  <c r="I140" i="4" s="1"/>
  <c r="I141" i="4" s="1"/>
  <c r="L130" i="4"/>
  <c r="L131" i="4" s="1"/>
  <c r="L132" i="4" s="1"/>
  <c r="L133" i="4" s="1"/>
  <c r="I146" i="6" l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L74" i="6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F33" i="6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L134" i="4"/>
  <c r="L135" i="4" s="1"/>
  <c r="L136" i="4" s="1"/>
  <c r="L137" i="4" s="1"/>
  <c r="L138" i="4" s="1"/>
  <c r="L139" i="4" s="1"/>
  <c r="L140" i="4" s="1"/>
  <c r="L141" i="4" s="1"/>
  <c r="I142" i="4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F142" i="4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I162" i="6" l="1"/>
  <c r="I163" i="6" s="1"/>
  <c r="I164" i="6" s="1"/>
  <c r="I165" i="6" s="1"/>
  <c r="L85" i="6"/>
  <c r="L86" i="6" s="1"/>
  <c r="L87" i="6" s="1"/>
  <c r="F61" i="6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157" i="4"/>
  <c r="F158" i="4" s="1"/>
  <c r="F159" i="4" s="1"/>
  <c r="F160" i="4" s="1"/>
  <c r="F161" i="4" s="1"/>
  <c r="F162" i="4" s="1"/>
  <c r="F163" i="4" s="1"/>
  <c r="F164" i="4" s="1"/>
  <c r="I157" i="4"/>
  <c r="I158" i="4" s="1"/>
  <c r="I159" i="4" s="1"/>
  <c r="I160" i="4" s="1"/>
  <c r="I161" i="4" s="1"/>
  <c r="I162" i="4" s="1"/>
  <c r="I163" i="4" s="1"/>
  <c r="I164" i="4" s="1"/>
  <c r="L142" i="4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I166" i="6" l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L88" i="6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F74" i="6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I165" i="4"/>
  <c r="I166" i="4" s="1"/>
  <c r="I167" i="4" s="1"/>
  <c r="I168" i="4" s="1"/>
  <c r="I169" i="4" s="1"/>
  <c r="I170" i="4" s="1"/>
  <c r="I171" i="4" s="1"/>
  <c r="I172" i="4" s="1"/>
  <c r="L157" i="4"/>
  <c r="L158" i="4" s="1"/>
  <c r="L159" i="4" s="1"/>
  <c r="L160" i="4" s="1"/>
  <c r="L161" i="4" s="1"/>
  <c r="L162" i="4" s="1"/>
  <c r="L163" i="4" s="1"/>
  <c r="L164" i="4" s="1"/>
  <c r="F165" i="4"/>
  <c r="F166" i="4" s="1"/>
  <c r="F167" i="4" s="1"/>
  <c r="F168" i="4" s="1"/>
  <c r="F169" i="4" s="1"/>
  <c r="F170" i="4" s="1"/>
  <c r="F171" i="4" s="1"/>
  <c r="F172" i="4" s="1"/>
  <c r="I186" i="6" l="1"/>
  <c r="I187" i="6" s="1"/>
  <c r="I188" i="6" s="1"/>
  <c r="I189" i="6" s="1"/>
  <c r="I190" i="6" s="1"/>
  <c r="I191" i="6" s="1"/>
  <c r="I192" i="6" s="1"/>
  <c r="I193" i="6" s="1"/>
  <c r="I194" i="6" s="1"/>
  <c r="I195" i="6" s="1"/>
  <c r="L99" i="6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F85" i="6"/>
  <c r="F86" i="6" s="1"/>
  <c r="F87" i="6" s="1"/>
  <c r="F173" i="4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L165" i="4"/>
  <c r="L166" i="4" s="1"/>
  <c r="L167" i="4" s="1"/>
  <c r="L168" i="4" s="1"/>
  <c r="L169" i="4" s="1"/>
  <c r="L170" i="4" s="1"/>
  <c r="L171" i="4" s="1"/>
  <c r="L172" i="4" s="1"/>
  <c r="I173" i="4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96" i="6" l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L135" i="6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F88" i="6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I186" i="4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L173" i="4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F186" i="4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I231" i="6" l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L146" i="6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F99" i="6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L186" i="4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F244" i="4"/>
  <c r="F245" i="4" s="1"/>
  <c r="F246" i="4" s="1"/>
  <c r="F247" i="4" s="1"/>
  <c r="F248" i="4" s="1"/>
  <c r="F249" i="4" s="1"/>
  <c r="F250" i="4" s="1"/>
  <c r="F251" i="4" s="1"/>
  <c r="F252" i="4" s="1"/>
  <c r="I198" i="4"/>
  <c r="I258" i="6" l="1"/>
  <c r="I248" i="6"/>
  <c r="I249" i="6" s="1"/>
  <c r="I250" i="6" s="1"/>
  <c r="I251" i="6" s="1"/>
  <c r="I252" i="6" s="1"/>
  <c r="I253" i="6" s="1"/>
  <c r="I254" i="6" s="1"/>
  <c r="I255" i="6" s="1"/>
  <c r="I256" i="6" s="1"/>
  <c r="I257" i="6" s="1"/>
  <c r="L162" i="6"/>
  <c r="L163" i="6" s="1"/>
  <c r="L164" i="6" s="1"/>
  <c r="L165" i="6" s="1"/>
  <c r="F135" i="6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253" i="4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L244" i="4"/>
  <c r="L245" i="4" s="1"/>
  <c r="L246" i="4" s="1"/>
  <c r="L247" i="4" s="1"/>
  <c r="L248" i="4" s="1"/>
  <c r="L249" i="4" s="1"/>
  <c r="L250" i="4" s="1"/>
  <c r="L251" i="4" s="1"/>
  <c r="L252" i="4" s="1"/>
  <c r="I199" i="4"/>
  <c r="I200" i="4" s="1"/>
  <c r="I201" i="4" s="1"/>
  <c r="I202" i="4" s="1"/>
  <c r="I203" i="4" s="1"/>
  <c r="I204" i="4" s="1"/>
  <c r="I205" i="4" s="1"/>
  <c r="I206" i="4" s="1"/>
  <c r="I207" i="4" s="1"/>
  <c r="I259" i="6" l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L166" i="6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F146" i="6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266" i="4"/>
  <c r="F267" i="4" s="1"/>
  <c r="I208" i="4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L253" i="4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7" i="4" s="1"/>
  <c r="I271" i="6" l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L186" i="6"/>
  <c r="L187" i="6" s="1"/>
  <c r="L188" i="6" s="1"/>
  <c r="L189" i="6" s="1"/>
  <c r="L190" i="6" s="1"/>
  <c r="L191" i="6" s="1"/>
  <c r="L192" i="6" s="1"/>
  <c r="L193" i="6" s="1"/>
  <c r="L194" i="6" s="1"/>
  <c r="L195" i="6" s="1"/>
  <c r="F162" i="6"/>
  <c r="F163" i="6" s="1"/>
  <c r="F164" i="6" s="1"/>
  <c r="F165" i="6" s="1"/>
  <c r="I221" i="4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88" i="6" l="1"/>
  <c r="I289" i="6" s="1"/>
  <c r="I290" i="6" s="1"/>
  <c r="I291" i="6" s="1"/>
  <c r="I292" i="6" s="1"/>
  <c r="I293" i="6" s="1"/>
  <c r="I294" i="6" s="1"/>
  <c r="I295" i="6" s="1"/>
  <c r="I296" i="6" s="1"/>
  <c r="I297" i="6" s="1"/>
  <c r="I298" i="6" s="1"/>
  <c r="I299" i="6" s="1"/>
  <c r="I300" i="6" s="1"/>
  <c r="I301" i="6" s="1"/>
  <c r="I302" i="6" s="1"/>
  <c r="I303" i="6" s="1"/>
  <c r="I304" i="6" s="1"/>
  <c r="I305" i="6" s="1"/>
  <c r="I306" i="6" s="1"/>
  <c r="I307" i="6" s="1"/>
  <c r="I308" i="6" s="1"/>
  <c r="L196" i="6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F166" i="6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I236" i="4"/>
  <c r="I237" i="4" s="1"/>
  <c r="I238" i="4" s="1"/>
  <c r="I239" i="4" s="1"/>
  <c r="I240" i="4" s="1"/>
  <c r="I241" i="4" s="1"/>
  <c r="I242" i="4" s="1"/>
  <c r="I243" i="4" s="1"/>
  <c r="I309" i="6" l="1"/>
  <c r="I310" i="6" s="1"/>
  <c r="I311" i="6" s="1"/>
  <c r="I312" i="6" s="1"/>
  <c r="I313" i="6" s="1"/>
  <c r="I314" i="6" s="1"/>
  <c r="I315" i="6" s="1"/>
  <c r="I316" i="6" s="1"/>
  <c r="I317" i="6" s="1"/>
  <c r="I318" i="6" s="1"/>
  <c r="I319" i="6" s="1"/>
  <c r="I320" i="6" s="1"/>
  <c r="I321" i="6" s="1"/>
  <c r="I322" i="6" s="1"/>
  <c r="I323" i="6" s="1"/>
  <c r="I324" i="6" s="1"/>
  <c r="I325" i="6" s="1"/>
  <c r="I326" i="6" s="1"/>
  <c r="I327" i="6" s="1"/>
  <c r="I328" i="6" s="1"/>
  <c r="I329" i="6" s="1"/>
  <c r="L231" i="6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F186" i="6"/>
  <c r="F187" i="6" s="1"/>
  <c r="F188" i="6" s="1"/>
  <c r="F189" i="6" s="1"/>
  <c r="F190" i="6" s="1"/>
  <c r="F191" i="6" s="1"/>
  <c r="F192" i="6" s="1"/>
  <c r="F193" i="6" s="1"/>
  <c r="F194" i="6" s="1"/>
  <c r="F195" i="6" s="1"/>
  <c r="I244" i="4"/>
  <c r="I245" i="4" s="1"/>
  <c r="I246" i="4" s="1"/>
  <c r="I247" i="4" s="1"/>
  <c r="I248" i="4" s="1"/>
  <c r="I249" i="4" s="1"/>
  <c r="I250" i="4" s="1"/>
  <c r="I251" i="4" s="1"/>
  <c r="I252" i="4" s="1"/>
  <c r="L248" i="6" l="1"/>
  <c r="L249" i="6" s="1"/>
  <c r="L250" i="6" s="1"/>
  <c r="L251" i="6" s="1"/>
  <c r="L252" i="6" s="1"/>
  <c r="L253" i="6" s="1"/>
  <c r="L254" i="6" s="1"/>
  <c r="L255" i="6" s="1"/>
  <c r="L256" i="6" s="1"/>
  <c r="L257" i="6" s="1"/>
  <c r="L258" i="6" s="1"/>
  <c r="F196" i="6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I253" i="4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7" i="4" s="1"/>
  <c r="L259" i="6" l="1"/>
  <c r="L260" i="6" s="1"/>
  <c r="L261" i="6" s="1"/>
  <c r="L262" i="6" s="1"/>
  <c r="L263" i="6" s="1"/>
  <c r="L264" i="6" s="1"/>
  <c r="L265" i="6" s="1"/>
  <c r="L266" i="6" s="1"/>
  <c r="L267" i="6" s="1"/>
  <c r="L268" i="6" s="1"/>
  <c r="L269" i="6" s="1"/>
  <c r="L270" i="6" s="1"/>
  <c r="F231" i="6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L271" i="6" l="1"/>
  <c r="L272" i="6" s="1"/>
  <c r="L273" i="6" s="1"/>
  <c r="L274" i="6" s="1"/>
  <c r="L275" i="6" s="1"/>
  <c r="L276" i="6" s="1"/>
  <c r="L277" i="6" s="1"/>
  <c r="L278" i="6" s="1"/>
  <c r="L279" i="6" s="1"/>
  <c r="L280" i="6" s="1"/>
  <c r="L281" i="6" s="1"/>
  <c r="L282" i="6" s="1"/>
  <c r="L283" i="6" s="1"/>
  <c r="L284" i="6" s="1"/>
  <c r="L285" i="6" s="1"/>
  <c r="L286" i="6" s="1"/>
  <c r="L287" i="6" s="1"/>
  <c r="F248" i="6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L288" i="6" l="1"/>
  <c r="L289" i="6" s="1"/>
  <c r="L290" i="6" s="1"/>
  <c r="L291" i="6" s="1"/>
  <c r="L292" i="6" s="1"/>
  <c r="L293" i="6" s="1"/>
  <c r="L294" i="6" s="1"/>
  <c r="L295" i="6" s="1"/>
  <c r="L296" i="6" s="1"/>
  <c r="L297" i="6" s="1"/>
  <c r="L298" i="6" s="1"/>
  <c r="L299" i="6" s="1"/>
  <c r="L300" i="6" s="1"/>
  <c r="L301" i="6" s="1"/>
  <c r="L302" i="6" s="1"/>
  <c r="L303" i="6" s="1"/>
  <c r="L304" i="6" s="1"/>
  <c r="L305" i="6" s="1"/>
  <c r="L306" i="6" s="1"/>
  <c r="L307" i="6" s="1"/>
  <c r="L308" i="6" s="1"/>
  <c r="F259" i="6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L309" i="6" l="1"/>
  <c r="L310" i="6" s="1"/>
  <c r="L311" i="6" s="1"/>
  <c r="L312" i="6" s="1"/>
  <c r="L313" i="6" s="1"/>
  <c r="L314" i="6" s="1"/>
  <c r="L315" i="6" s="1"/>
  <c r="L316" i="6" s="1"/>
  <c r="L317" i="6" s="1"/>
  <c r="L318" i="6" s="1"/>
  <c r="L319" i="6" s="1"/>
  <c r="L320" i="6" s="1"/>
  <c r="L321" i="6" s="1"/>
  <c r="L322" i="6" s="1"/>
  <c r="L323" i="6" s="1"/>
  <c r="L324" i="6" s="1"/>
  <c r="L325" i="6" s="1"/>
  <c r="L326" i="6" s="1"/>
  <c r="L327" i="6" s="1"/>
  <c r="L328" i="6" s="1"/>
  <c r="L329" i="6" s="1"/>
  <c r="L331" i="6" s="1"/>
  <c r="F271" i="6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l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l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1" i="6" s="1"/>
  <c r="D5" i="7" s="1"/>
  <c r="F5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</calcChain>
</file>

<file path=xl/sharedStrings.xml><?xml version="1.0" encoding="utf-8"?>
<sst xmlns="http://schemas.openxmlformats.org/spreadsheetml/2006/main" count="1462" uniqueCount="970">
  <si>
    <t>ELECTROCOOL</t>
  </si>
  <si>
    <t>LIBELLES</t>
  </si>
  <si>
    <t>USD</t>
  </si>
  <si>
    <t>EUROS</t>
  </si>
  <si>
    <t xml:space="preserve">                              Francs</t>
  </si>
  <si>
    <t>ENC  CLIENT</t>
  </si>
  <si>
    <t>ENTREE ($)</t>
  </si>
  <si>
    <t>SORTIE ($)</t>
  </si>
  <si>
    <t>SOLDE ($)</t>
  </si>
  <si>
    <t>ENTREE (Euro)</t>
  </si>
  <si>
    <t>SORTIE (Euro)</t>
  </si>
  <si>
    <t>SOLDE (Euro)</t>
  </si>
  <si>
    <t>ENTREE (Francs)</t>
  </si>
  <si>
    <t>SORTIE (Francs)</t>
  </si>
  <si>
    <t>SOLDE (francs)</t>
  </si>
  <si>
    <t>REPORT</t>
  </si>
  <si>
    <t>EBCDC USD - RETRAIT</t>
  </si>
  <si>
    <t>GEORGES - Carburant NISSAN PATROL</t>
  </si>
  <si>
    <t>MAGASIN - 10 Supports condenseurs</t>
  </si>
  <si>
    <t>MBENKIE - Carburant JAC CONTAINER</t>
  </si>
  <si>
    <t>LOSEMBE 1 - Carburant groupe NDOLO</t>
  </si>
  <si>
    <t>SOLDE CAISSE</t>
  </si>
  <si>
    <t>TOTAL CAISSE DE IY</t>
  </si>
  <si>
    <t>CHANGE</t>
  </si>
  <si>
    <t>COMMUNICATIONS willy, georges, nancy, urbain</t>
  </si>
  <si>
    <t>MNAOUER - Communications</t>
  </si>
  <si>
    <t>DG - RETRAIT</t>
  </si>
  <si>
    <t>LEKO - Carburant IST</t>
  </si>
  <si>
    <t>CLAUDE - Carburant PICKUP L200</t>
  </si>
  <si>
    <t>AGL - Frais accès tarmac aero</t>
  </si>
  <si>
    <t>DIDIER - Carburant groupe NDOLO</t>
  </si>
  <si>
    <t>CHICK - Communications</t>
  </si>
  <si>
    <t>ALBERT - Carburant NISSAN PATROL</t>
  </si>
  <si>
    <t>RAWBANK USD - RETRAIT</t>
  </si>
  <si>
    <t>COMMUNICATIONS willy, nancy, georges, urbain</t>
  </si>
  <si>
    <t>NDONA - Communications</t>
  </si>
  <si>
    <t>MBENKIE - Carburant JAC/CONTAINER</t>
  </si>
  <si>
    <t>CHICK - Carburant PRADO</t>
  </si>
  <si>
    <t>RESIDENCE IVAN - Electricité prepaid</t>
  </si>
  <si>
    <t>RESIDENCE IVAN - Quinzaine agents 01/2025</t>
  </si>
  <si>
    <t>RESIDENCE DG - Quinzaine agents 01/2025</t>
  </si>
  <si>
    <t>CHICK - Carburant HYUNDAI SANTAFE</t>
  </si>
  <si>
    <t>COMMUNICATIONS willy, georges, urbain, nancy</t>
  </si>
  <si>
    <t>LEKO - Reparation pneu IST</t>
  </si>
  <si>
    <t>RESIDENCE IVAN - M.O. Reparation toiture</t>
  </si>
  <si>
    <t>COMMUNICATIONS willy, nancy, urbain, georges</t>
  </si>
  <si>
    <t>DIVERS</t>
  </si>
  <si>
    <t xml:space="preserve">RAPPORT DE CAISSE </t>
  </si>
  <si>
    <t>CHICK - Carburant PRADO/DG</t>
  </si>
  <si>
    <t>LOSEMBE 1 - Course de service</t>
  </si>
  <si>
    <t>SOFIBANK USD - RETRAIT</t>
  </si>
  <si>
    <t xml:space="preserve">CHANGE </t>
  </si>
  <si>
    <t>ALVARO - Evacuation poubelle NDOLO</t>
  </si>
  <si>
    <t>KINKOLE - Frais journaliers entretien CF/HUB</t>
  </si>
  <si>
    <t>TMB USD - RETRAIT</t>
  </si>
  <si>
    <t>LOSEMBE 1 - Transport RESIDENCE IVAN</t>
  </si>
  <si>
    <t>URBAIN - Fournitures de bureau</t>
  </si>
  <si>
    <t>LOSEMBE 1 - Transport RESIDENCE DG</t>
  </si>
  <si>
    <t>ALVARO - Unités Mme VANESSA</t>
  </si>
  <si>
    <t>ALBERT - Carburant NISSAN/DG</t>
  </si>
  <si>
    <t>LOSEMBE 1 - Entretien groupe NDOLO</t>
  </si>
  <si>
    <t>MBENKIE - Carburant groupe NDOLO</t>
  </si>
  <si>
    <t>DIDIER - Carburant JAC/CONTAINER</t>
  </si>
  <si>
    <t>DIDIER - Entretien NISSAN PATROL / GEORGES</t>
  </si>
  <si>
    <t>HANS - Communications</t>
  </si>
  <si>
    <t>CLAUDE - Reparation pneus PICKUP L200</t>
  </si>
  <si>
    <t>DIDIER - Entretien IST</t>
  </si>
  <si>
    <t>DIDIER - Carburant JAC/ANCIEN</t>
  </si>
  <si>
    <t>NANCY - Course de service</t>
  </si>
  <si>
    <t>PGHK - 1 Carton colle contact</t>
  </si>
  <si>
    <t>MALEWU - Carburant TATA DELUXE</t>
  </si>
  <si>
    <t>DIDIER - Course de service</t>
  </si>
  <si>
    <t>IY - Approvisionnement caisse</t>
  </si>
  <si>
    <t>KINKOLE - Frais journaliers entretien CF/HUB + Transport</t>
  </si>
  <si>
    <t>FRANCK - Carburant IST</t>
  </si>
  <si>
    <t>IY - Approvisionnement compte</t>
  </si>
  <si>
    <t>NANCY - Achat bons de sortie caisse</t>
  </si>
  <si>
    <t>CLAUDE LUBAKI - Carburant PICKUP L200</t>
  </si>
  <si>
    <t>MAGASIN - 2 Crts savon liquide</t>
  </si>
  <si>
    <t>USCT - Reparation imprimante TOSHIBA</t>
  </si>
  <si>
    <t>COMMUNICATIONS franck, kusiekita, bangamo</t>
  </si>
  <si>
    <t>FRANCK - Reparation pneus JAC/CONTAINER</t>
  </si>
  <si>
    <t>NANCY - Carburant IST</t>
  </si>
  <si>
    <t>MAGASIN - 2Rlx sachets bleu pour entretien</t>
  </si>
  <si>
    <t>MONKOLE - Transport BOSAKO</t>
  </si>
  <si>
    <t>GEORGES - RETOUR CAISSE</t>
  </si>
  <si>
    <t>AGL - Frais tarmac aero</t>
  </si>
  <si>
    <t>DIDIER - Entretien TATA SUPER</t>
  </si>
  <si>
    <t>KWAMI - Divers</t>
  </si>
  <si>
    <t>PROSPERE LIHOZA - Carburant NISSAN PATROL</t>
  </si>
  <si>
    <t>LIOKO - Transport CITE VERTE</t>
  </si>
  <si>
    <t>COMMUNICATIONS willy, urbain, georges, nancy</t>
  </si>
  <si>
    <t>GEORGES - Prime trimestrielle</t>
  </si>
  <si>
    <t>MALEWU - Carburant TATA/DELUXE</t>
  </si>
  <si>
    <t>KINKOLE - Frais transport journaliers entretien CF/HUB</t>
  </si>
  <si>
    <t xml:space="preserve">LOSEMBE 1 - Carburant groupe NDOLO </t>
  </si>
  <si>
    <t>LEKO - Achat bons de sortie caisse</t>
  </si>
  <si>
    <t>RESIDENCE IVAN - Paie agents 12/2025</t>
  </si>
  <si>
    <t>RESIDENCE DG - Paie agents 12/2025</t>
  </si>
  <si>
    <t>EGSC - SOLDE PRIME agents 12/2025</t>
  </si>
  <si>
    <t>WILLY - Prime 2025</t>
  </si>
  <si>
    <t>SERGE - TRFT / LUSHI + Frais</t>
  </si>
  <si>
    <t>CDT - Cotisation syndicale s/Gratification ELECTROCOOL</t>
  </si>
  <si>
    <t>DIDIER - Rechanges NISSAN DG</t>
  </si>
  <si>
    <t>MBUTELA Brandon - complement prime 12/2025</t>
  </si>
  <si>
    <t>ATRIUM - 10 Disques c125</t>
  </si>
  <si>
    <t>FRANCK - Location Véhicule / Transport container colis</t>
  </si>
  <si>
    <t>FRANCK - Frais journaliers colis/ CONTAINER</t>
  </si>
  <si>
    <t>FRANCK - Transport chauffeurs DIDIER&amp;MBENKIE</t>
  </si>
  <si>
    <t>BENI - Travaux peinture RESIDENCE DG</t>
  </si>
  <si>
    <t>RESIDENCE DG - 1 Relais compact 20A cfr GEIRGES</t>
  </si>
  <si>
    <t>DIDIER - Frais electricien ANCIEN JAC</t>
  </si>
  <si>
    <t>ALBERT - Frais aero, protocole, parking, bagages</t>
  </si>
  <si>
    <r>
      <t xml:space="preserve">PGHK - 1Lg flexible non isolé 100 </t>
    </r>
    <r>
      <rPr>
        <b/>
        <sz val="10"/>
        <color rgb="FFFF0000"/>
        <rFont val="Calibri"/>
        <family val="2"/>
        <scheme val="minor"/>
      </rPr>
      <t>(RETOUR/NON PAYE)</t>
    </r>
  </si>
  <si>
    <r>
      <t xml:space="preserve">LYS CENTER - 1 Bouteille freon 410 </t>
    </r>
    <r>
      <rPr>
        <b/>
        <sz val="10"/>
        <color rgb="FFFF0000"/>
        <rFont val="Calibri"/>
        <family val="2"/>
        <scheme val="minor"/>
      </rPr>
      <t>(RETOUR/NON PAYE)</t>
    </r>
  </si>
  <si>
    <t>ALBERT - Carburant NISSAN/DG-PRADO-NISSAN PATROL</t>
  </si>
  <si>
    <t>ATRIUM - 10 Disques c125 (19800fc)</t>
  </si>
  <si>
    <t>CHICK - Achat eau DG&amp;BUREAU</t>
  </si>
  <si>
    <t>COMMUNICATIONS willy, georges, urbain</t>
  </si>
  <si>
    <t xml:space="preserve">PGHK - 1Lg flexible non isolé 100 </t>
  </si>
  <si>
    <t xml:space="preserve">LYS CENTER - 1 Bouteille freon 410 </t>
  </si>
  <si>
    <t>CDT - Cotisation syndicale / GRATIFICATION 2025</t>
  </si>
  <si>
    <t>PRIMMO - Frais assurance + feri 2CONTAINERS</t>
  </si>
  <si>
    <t>PROSPERE - Reparation pneu NISSAN PATROL</t>
  </si>
  <si>
    <t>CLAUDE - Frais aero, protocole, parking&amp;divers</t>
  </si>
  <si>
    <t>PRIMMO - Impressions 3plans A0</t>
  </si>
  <si>
    <t>AGL/RES.DG - 1 Disjoncteur GV2 &amp; 1support condenseur</t>
  </si>
  <si>
    <t>MAKANDA - Communications</t>
  </si>
  <si>
    <t>PRIMMO - Impression 7 plans A0</t>
  </si>
  <si>
    <t>EGSC - CNSS 12/2025</t>
  </si>
  <si>
    <t>EGSC - IPR 12/2025</t>
  </si>
  <si>
    <t>ESPACE SHADARY - Facture 2025/SN/169-170</t>
  </si>
  <si>
    <t>ATRIUM - 2Lg planches &amp; 2 disques c230</t>
  </si>
  <si>
    <t>RESIDENCE IVAN - Eclairage chambre parents</t>
  </si>
  <si>
    <t>RESIDENCE DG - Eclairage salle de bain</t>
  </si>
  <si>
    <t>PRIMMO - 15m cable souple 25mm²</t>
  </si>
  <si>
    <t>ALBERT - Carburant PRADO/DG</t>
  </si>
  <si>
    <t>CHICK - Frais aero , protocole, parking, bagages, divers</t>
  </si>
  <si>
    <t>ABEL - Rebobinage 2 moteurs condenseurs/AGL</t>
  </si>
  <si>
    <t>PRIMMO - 5 Pqts colliers plastic</t>
  </si>
  <si>
    <t>MONTASSAR&amp;MAIL - Communications</t>
  </si>
  <si>
    <t>ELECTROCOLL - Quinzaine 01/2026</t>
  </si>
  <si>
    <t>EGSC - Quinzaine 01/2026</t>
  </si>
  <si>
    <t>TEMPORAIRES - Quinzaine 01/2026</t>
  </si>
  <si>
    <t>EUNICE - 1 Boite SOUDAL cfr GEORGES</t>
  </si>
  <si>
    <t>FRANCK - Trft SERGE/LUBUMBASHI</t>
  </si>
  <si>
    <t>PRIMMO - Acpte container 4&amp;5 cfr GEORGES NAWEJ</t>
  </si>
  <si>
    <t>RAWBANK USD -RETRAIT</t>
  </si>
  <si>
    <t>PRIMMO - 2Gaz propane, btes colle tangit, 10pqts baguettes Ag</t>
  </si>
  <si>
    <t>UTEX/BCECO - 3 Disques diamant 230</t>
  </si>
  <si>
    <t>PRIMMO - 1 Bouteille azote, acétylène, oxygene</t>
  </si>
  <si>
    <t>PRIMMO - 1Bte dijonnaire, coupe-tubes; 5pqts nupples---</t>
  </si>
  <si>
    <t>ETS NEW CEPRONAC - Passage immondices IY 12/2025</t>
  </si>
  <si>
    <t>PRIMMO - 8 Journaliers du 06/01 + 4Journaliers du 07/01/2026</t>
  </si>
  <si>
    <t>LYS CENTER - 2 Fusibles cartouche complet cfr GEORGES</t>
  </si>
  <si>
    <t>RAWBANK EURO - RETRAIT</t>
  </si>
  <si>
    <t>EBCDC EURO - RETRAIT</t>
  </si>
  <si>
    <t>KINKOLE - 1 Pressostat hydrofort &amp; 1 flotteur bache eau</t>
  </si>
  <si>
    <t>EUIPE DEPANNAGE - 1 Bouteille freon 410</t>
  </si>
  <si>
    <t>Equipe DEPANNAGE &amp; MAGASIN - 2Bouteilles freon R22</t>
  </si>
  <si>
    <t>UTEX/BCECO - Accessoires dibers cfr bon 3288</t>
  </si>
  <si>
    <t>UTEX/BCECO - 70 Colliers galva 63</t>
  </si>
  <si>
    <t>GEORGES - Course de service du 14/01/2026</t>
  </si>
  <si>
    <t>CDI - Divers/Facture normalisée</t>
  </si>
  <si>
    <t>NDOLO - Facture REGIDESO 12/2025</t>
  </si>
  <si>
    <t>ATRIUM - 1 Clé à gaz 6"</t>
  </si>
  <si>
    <t>SILIKIN - 1 Ondulaire 600VA</t>
  </si>
  <si>
    <t>RESIDENCE IVAN - 2 Relais 30A</t>
  </si>
  <si>
    <t>FRANCK - Achat billet aller simple TURKISH MONTASSAR</t>
  </si>
  <si>
    <t xml:space="preserve">MBENKIE - Carburant JAC ANCIEN </t>
  </si>
  <si>
    <t>CHICK - Carburant PRADO &amp; HYUNDAI</t>
  </si>
  <si>
    <t>YAMAFRET - 2e Acpte container 4-5</t>
  </si>
  <si>
    <t>DIDIER - 1 Batterie 100A 12V jac:ancien</t>
  </si>
  <si>
    <t>MNAOUER - Avance</t>
  </si>
  <si>
    <t>KINKOLE - Quinzaine maintenanciers HUB 01/2026</t>
  </si>
  <si>
    <t>MAWAMA Exaucé - Transport NDOLO-LIMETE / AGL</t>
  </si>
  <si>
    <t>LOSEMBE URBAIN - Solde congé 2025</t>
  </si>
  <si>
    <t>Jean Grégoire - Frais automatisation fichiers/FACTURATION</t>
  </si>
  <si>
    <t>DIDIER - Transport</t>
  </si>
  <si>
    <t>PRIMMO - 1 Manometre frigorifique cfr kusiekita</t>
  </si>
  <si>
    <t>AGL/SIEGE - Rlx tubes cu cfr bon 3298</t>
  </si>
  <si>
    <t>DIDIER - 10L huile moteur SAE 40 STOCK</t>
  </si>
  <si>
    <t>LOSEMBE 1 - 1 Relais compact stabilisateur photocopieuse</t>
  </si>
  <si>
    <t>LOSEMBE 1 - Transport menuisier</t>
  </si>
  <si>
    <t>LOSEMBE 1 - 1 Paire de charbon souffleur</t>
  </si>
  <si>
    <t>RESIDENCE IVAN - Reparation toiture</t>
  </si>
  <si>
    <t>DIDIER - Pièces PICKUP L200</t>
  </si>
  <si>
    <t>ALI DANANI - Transport Gregory du 14 au 23/01/2026</t>
  </si>
  <si>
    <t>EQUIPE ENTRETIEN - 2 Bassins GF &amp; 2 sceaux</t>
  </si>
  <si>
    <t>UTEX/BCECO - 2Rlx sachet bleu + scotch GF</t>
  </si>
  <si>
    <t>RESIDENCE IVAN - Facture REGIDESO 12/2025</t>
  </si>
  <si>
    <t>ATRIUM - 6 Journaliers transport gaines au 4e Etage</t>
  </si>
  <si>
    <t>MONKOLE - Transport Bosako</t>
  </si>
  <si>
    <t>COMMUNAUTE HELLENIQUE - Facture 2026/DA/7</t>
  </si>
  <si>
    <t>IMMEUBLE SERKAS - Facture 2026/DA/6</t>
  </si>
  <si>
    <t>NANCY - Achat agenda 2026</t>
  </si>
  <si>
    <t>DIVERS CDI</t>
  </si>
  <si>
    <t>KINKOLE - 1 Raccord union PVC 32</t>
  </si>
  <si>
    <t>WAPETWA - Transport KINKOLE</t>
  </si>
  <si>
    <t>RESIDENCE DG - 1 Relais compresseur carte split</t>
  </si>
  <si>
    <t>LOSEMBE 1 - 3Lampes eco/MAGASIN</t>
  </si>
  <si>
    <t>RESIDENCE IVAN - 1Projecteur, ampoule, 2colliers M</t>
  </si>
  <si>
    <t>DIDIER - 1 Amortisseur NISSAN/DG</t>
  </si>
  <si>
    <t>PGHK - HS samedi 11/10/2025 ndona, boko, ego, imbana---</t>
  </si>
  <si>
    <t>PGHK - HS samedi 18/10/2025 ndona, wapetwa, steve, christian---</t>
  </si>
  <si>
    <t>PROSPERE - HS mercredi 17/12/2025</t>
  </si>
  <si>
    <t>IMM.PANORAMA - HS samedi 03/01/2026 lioko</t>
  </si>
  <si>
    <t>EBCDC - HS 23/12 AU 31/12/2025 mane</t>
  </si>
  <si>
    <t>CLAUDE - HS du 07 au 08/01/2026 AERO</t>
  </si>
  <si>
    <t>ATRIUM - 4 Gilets d'accès à la RAWBANK</t>
  </si>
  <si>
    <t>COMIMMO cfr RETRAIT NANCY</t>
  </si>
  <si>
    <t>IMMEUBLE MARIE YVETTE - 2025/SN/172</t>
  </si>
  <si>
    <t>RESIDENCE IVAN - 1Pqt attaches-cables jardin</t>
  </si>
  <si>
    <t>AGL - Frais accès tarmac aero 3jours</t>
  </si>
  <si>
    <t>PROSPERE - Carburant NISSAN/DG</t>
  </si>
  <si>
    <t>PROSPERE - Communications</t>
  </si>
  <si>
    <t>MINISTERE DE TRANSPORT - CCT Veicules 1er semestre 2026</t>
  </si>
  <si>
    <t>ATRIUM - 1Rlx tube cu 1/4-3/8 &amp; 8Lg armaflex 1/4-3/8</t>
  </si>
  <si>
    <t>LYS CENTER - 1 Disjoncteur modulaire 32A</t>
  </si>
  <si>
    <t>RS HOLDING - 4 Courroies dentée A33</t>
  </si>
  <si>
    <t>MALEWU - Reparation pneus TATA DELUXE</t>
  </si>
  <si>
    <t>RS HOLDING - 2Gaz butane + 1Lg armaflex 7/8</t>
  </si>
  <si>
    <t>MNAOUER - 2 Karshers à pression &amp; 2 echelles</t>
  </si>
  <si>
    <t>MINISTERE TRANSPORT - CCT HYUNDAI+Frais bank</t>
  </si>
  <si>
    <t>MINISTERE TRANSPORT - Frais bancaires CCT/Charroi</t>
  </si>
  <si>
    <t>MAGASIN - 5 Gaz butane GF</t>
  </si>
  <si>
    <t>MAGASIN - 1 Bouteille freon 410a</t>
  </si>
  <si>
    <t>IMMEUBLE IMANI - Facture 2026.01/DA/13</t>
  </si>
  <si>
    <t>SUCRIERE/KINSHASA - 1 Disjoncteur GVII 9-14A</t>
  </si>
  <si>
    <t>ELECTROCOOL - AVANCE PAIE/SMIG 01/2026</t>
  </si>
  <si>
    <t>Egsc - AVANCE PAIE/SMIG 01/2026</t>
  </si>
  <si>
    <t>TEMPORAIRES - PRESTATIONS 01/2026</t>
  </si>
  <si>
    <t>CDT - Cotisation syndicale 012026</t>
  </si>
  <si>
    <t>DIDIER - 1Bouchon radiateur IST &amp; Vitre retroviseur JAC</t>
  </si>
  <si>
    <t>DIDIER - Carburant TATA DELUXE</t>
  </si>
  <si>
    <t>SUCRIERE - Prestations agents 01/2026</t>
  </si>
  <si>
    <t>UTEXAFRICA - 1 Bouteille freon 410A - Kotibe 4</t>
  </si>
  <si>
    <t>PRIMMO - 1 Bouteille acetylene, 1 azote</t>
  </si>
  <si>
    <t>PRIMMO - 30Lg cornieres, 2pqts electrodes, email, thinner</t>
  </si>
  <si>
    <t>PRIMMO - 2Disques c115, 30nupples, gaz propane----</t>
  </si>
  <si>
    <t>PRIMMO - Location camion / Transport materiels</t>
  </si>
  <si>
    <t>SUCRIERE - 3 Cartes universelles bleu</t>
  </si>
  <si>
    <t>ESPACE SHADARY - Facture 2025/SN/140-153</t>
  </si>
  <si>
    <t>PRIMMO - 70Lg armaflex 40</t>
  </si>
  <si>
    <t>SOGIC - Facture 2026.01/DA/9-12</t>
  </si>
  <si>
    <t>IMMEUBLE DELPHIN - Facture 2026.01/DA/04</t>
  </si>
  <si>
    <t>AFRICANA PALACE - Facture 2026.01/DA/10</t>
  </si>
  <si>
    <t>UTEXAFRICA - Evacuation poubelle BCECO</t>
  </si>
  <si>
    <t>GEORGES - Frais PCR/Carte rose dupplicata</t>
  </si>
  <si>
    <t>KINKOLE - 4 Rlmnts 6201</t>
  </si>
  <si>
    <t>PRIMMO - Journaliers dechargement container 4</t>
  </si>
  <si>
    <t>COMMUNCATIONS franck, kusiekita, bangamo</t>
  </si>
  <si>
    <t>LUBAKI - Avance pension de retraite</t>
  </si>
  <si>
    <t>MAGASIN - Rlx cables, prises hermetiques Eq. ENTRETIEN</t>
  </si>
  <si>
    <t>ATRIUM - Impression 6plans A0</t>
  </si>
  <si>
    <t>RESIDENCE IVAN - IF &amp; IRL 4eTRIM.2025+Frais Mpesa</t>
  </si>
  <si>
    <t>VENUS/MERVEILLE - 20Baguettes, 3gaz butane, 3disques D</t>
  </si>
  <si>
    <t>ATRIUM - 10Tenues completes</t>
  </si>
  <si>
    <t>PRIMMO - Accessoires divers cfr bon 3119</t>
  </si>
  <si>
    <t>ATRIUM - Divers outillage cfr bon 3002</t>
  </si>
  <si>
    <t>MAGASIN - 2Pqts pinceaux pour entretien</t>
  </si>
  <si>
    <t>MAGASIN - 1Ballon de lock entretien</t>
  </si>
  <si>
    <t>MAGASIN - 50 Capas 1,5µf</t>
  </si>
  <si>
    <t>MOATAZ - Prestations 01/2026</t>
  </si>
  <si>
    <t>DIDIER - Achat siliconne IST</t>
  </si>
  <si>
    <t>SUCRIERE - Accessoires divers cfr bon 3132</t>
  </si>
  <si>
    <t>PRIMMO - 2 Bouteilles freon azote, 2 acetylene, 2 oxygene</t>
  </si>
  <si>
    <t>KINKOLE - Frais maintenanciers HUB+Suppl transport</t>
  </si>
  <si>
    <t>LFRD - Facture 2025/DTT/30</t>
  </si>
  <si>
    <t>MUMBIMBI - Transport SUCRIERE</t>
  </si>
  <si>
    <t>PRIMMO - Impression 10 plans A0</t>
  </si>
  <si>
    <t>DIDIER - Achat moteur VVT1 IST (PRÊT)</t>
  </si>
  <si>
    <t>DIDIER - Achat huile moteur SAE40 IST</t>
  </si>
  <si>
    <t>PRIMMO - 1Pqt embouts</t>
  </si>
  <si>
    <t>rawbank - Accessoires cfr bon 3135</t>
  </si>
  <si>
    <t>SHEHENAJ L.M. - Facture 2026.01/SN/18</t>
  </si>
  <si>
    <t>SHEHENAJ L.M. - Facture 2026.01/SN/17</t>
  </si>
  <si>
    <t>UTEX/BCECO - Accessoires cfr bon 3146</t>
  </si>
  <si>
    <t>Charles DIVANGAMENE - Pces demarreur PICKUP L200</t>
  </si>
  <si>
    <t>URBAIN - Achat toner imprimante TOSHIBA</t>
  </si>
  <si>
    <t>ELECTROCOOL - Quinzaine 02/2026</t>
  </si>
  <si>
    <t>EGSC - Quinzaine 02/2026</t>
  </si>
  <si>
    <t>TEMPORAIRES - Quinzaine 02/2026</t>
  </si>
  <si>
    <t>EGSC - CNSS 01/2026</t>
  </si>
  <si>
    <t>EGSC - Ipr 01/2026</t>
  </si>
  <si>
    <t>DIDIER - Achat bourrage boite IST</t>
  </si>
  <si>
    <t>EMERAUDE - Accessoires divers cfr bon 3280</t>
  </si>
  <si>
    <t>SUCRIERE - Accessoires divers cfr bon 3131</t>
  </si>
  <si>
    <t>ATRIUM - Accessoires cfr bon 3135</t>
  </si>
  <si>
    <t>SUCRIERE - 1 Split LG 12000, 1split 18000btu&amp;1split 24000btu</t>
  </si>
  <si>
    <t>ATRIUM - Impression 3 plans A0</t>
  </si>
  <si>
    <t>MNAOUER - Achat extender HDMI Wireless</t>
  </si>
  <si>
    <t>COMMUNICATIONS franck, kusiekita, bangamo, ndona</t>
  </si>
  <si>
    <t>FRANCK - 2 Journaliers / Evacuation meubles MONTASSAR</t>
  </si>
  <si>
    <t>PRIMMO - 4 Journaliers / Charge &amp; dechargement gaines</t>
  </si>
  <si>
    <t>DIDIER - Huile de refroidissement radiateur+ huile de frein IST</t>
  </si>
  <si>
    <t>FRANCK - Trft Serge/KOLWEZI - Transport, hebergement, restau---</t>
  </si>
  <si>
    <t>MBENKIE - Carburant TATA/CONTAINER</t>
  </si>
  <si>
    <t>FRANCK - Achat bons de sortie caisse</t>
  </si>
  <si>
    <t>Prospère LIHOZA - Carburant NISSAN/DG</t>
  </si>
  <si>
    <t>Prospère LIHOZA - Communications</t>
  </si>
  <si>
    <t>DIDIER - SAE 40 IST</t>
  </si>
  <si>
    <t>MAKIESE Pierre - Divers 01/2026</t>
  </si>
  <si>
    <t>Prospere LIHOZA - Divers 01/2026</t>
  </si>
  <si>
    <t>ATRIUM - 1 Meleuse 125 de 90w</t>
  </si>
  <si>
    <t>ATRIUM - 3Crts colle contact</t>
  </si>
  <si>
    <t>PRIMMO - 2Pqts embouts</t>
  </si>
  <si>
    <t>DIDIER - 2Pneus TATA SUPER</t>
  </si>
  <si>
    <t>LYS CENTER - 1 Disjoncteur modulaire 40A</t>
  </si>
  <si>
    <t>CDI - Divers</t>
  </si>
  <si>
    <t>ALBERT - Transport BEACH/RESIDENCE DG</t>
  </si>
  <si>
    <t>UTEXAFRICA - Accessoires divers cfr bon 3112</t>
  </si>
  <si>
    <t>ATRIUM - 4 Triplex / Pose 4 condenseurs</t>
  </si>
  <si>
    <t>ATRIUM - Location camion grue / Pose 4 condenseurs</t>
  </si>
  <si>
    <t>PRIMMO - 20Rlx toiles iso, 10pqts baguettes ag &amp; 50 coudes pvc</t>
  </si>
  <si>
    <t>MAGASIN - 50 Toiles iso 50x5</t>
  </si>
  <si>
    <t>MAGASIN - 10 Pqts chevilles+vis 14, 10,18</t>
  </si>
  <si>
    <t>MAGASIN - 1Rlx cable 3x2,5mm²</t>
  </si>
  <si>
    <t>MAGASIN - 10 Cartes universelles bleu</t>
  </si>
  <si>
    <t>DIDIER - M.O. Travaux montage nouveau moteur IST</t>
  </si>
  <si>
    <t>ATRIUM - M.O. 5 Journaliers livraison gaines du 21/01</t>
  </si>
  <si>
    <t>ATRIUM - M.O. 5 Journaliers livraison gaines Du 23/01</t>
  </si>
  <si>
    <t>ATRIUM - HS vendredi 23/01/2026 wapetwa, brandon, imbana, albert</t>
  </si>
  <si>
    <t>EBCDC - HS samedi 17-18/01/2026 lioko &amp; mane</t>
  </si>
  <si>
    <t>SOGIC - HS samedi 31/01/2026 lioko</t>
  </si>
  <si>
    <t>SERKAS - HS dimanche 01/02/2026 lioko</t>
  </si>
  <si>
    <t>PRIMMO - HS vendredi 30/01/2026 mvutu, mundele, mbenkie, mumbimbi</t>
  </si>
  <si>
    <t>MAGASIN - 2Rlx sachet bleu</t>
  </si>
  <si>
    <t>FRANCK - 1 Pneu 175/70/15 + 1 Jante IST</t>
  </si>
  <si>
    <t>IMMEUBLE LEGREY - Facture 2026.01/SN/20</t>
  </si>
  <si>
    <t>COMMUNAUTE HELLENIQUE - Facture 2026.01/DA/46</t>
  </si>
  <si>
    <t xml:space="preserve">MPATI FERRY - Reparation vehicule abimé / RAWBANK </t>
  </si>
  <si>
    <t>RESIDENCE DG - Quinzaine agents 02/2026</t>
  </si>
  <si>
    <t>RESIDENCE IY - Quinzaine agents 02/2026</t>
  </si>
  <si>
    <t>ATRIUM - Collation 10 agents</t>
  </si>
  <si>
    <t>A ONE CONSTRUCTION 2026.01/SN/4-19</t>
  </si>
  <si>
    <t>Immeuble MARIE YVETTE - Facture 2026,01/SN/7</t>
  </si>
  <si>
    <t>CHICK - Reparation pneu PRADO/DG</t>
  </si>
  <si>
    <t>RESIDENCE IVAN - Achat 10 tôles BG28</t>
  </si>
  <si>
    <t>NEW CEPRONAC - Evacuation immondices RESSIDENCE 01/2026</t>
  </si>
  <si>
    <t>NDOLO - Facture REGIDESO 02/2026</t>
  </si>
  <si>
    <t>RESIDENCE IVAN - Facture REGIDESO 02/2026</t>
  </si>
  <si>
    <t>UTEX/ZINGANA - 5Kgs mastic blanc</t>
  </si>
  <si>
    <t>KINKOLE - Frais journaliers entretien CF + TRANSPORT</t>
  </si>
  <si>
    <t>KINKOLE - Frais maintenanciers HUB 02/2026</t>
  </si>
  <si>
    <t>SUCRIERE - 2 Splits 18000btu</t>
  </si>
  <si>
    <t>ATRIUM - Accessoires divers cfr bon 3967</t>
  </si>
  <si>
    <t>ATRIUM - Accessoires divers cfr bon 3962</t>
  </si>
  <si>
    <t>UTEX/BCECO - 1 Sac ciment gris, 2 lames scie, 1 pousse sable</t>
  </si>
  <si>
    <t>ESPACE SHADARY - Facture 2025/SN/168</t>
  </si>
  <si>
    <t>KINKOLE - Transport Osée TSASA</t>
  </si>
  <si>
    <t>FRANCK - Location vehicule cfr Mses PRIMMO</t>
  </si>
  <si>
    <t>FRANCK - 2 Ampoules TATA/DELUXE</t>
  </si>
  <si>
    <t>AMBASSADE UK - Accessoires divers cfr bon 3150</t>
  </si>
  <si>
    <t>PRIMMO - 4 Pinceaux</t>
  </si>
  <si>
    <t>FRANCK - Autorisation personnes&amp;biens / 4 vehicules+FB</t>
  </si>
  <si>
    <t>NDOLO - 1 Poignet fenetre cuisine bureau 2</t>
  </si>
  <si>
    <t>RESIDENCE IVAN - 1Ballastr + 2 tubes 20w</t>
  </si>
  <si>
    <t>A ONE CONSTRUCTION - Devis DG/UYN-011-02-2026</t>
  </si>
  <si>
    <t>Polydor NGELEKA - Contribution deuil</t>
  </si>
  <si>
    <t>PRIMMO - 1 Viseuse 20v</t>
  </si>
  <si>
    <t>ATRIUM - 4 Bouteilles azote, 2 acetylene, 2 oxygene</t>
  </si>
  <si>
    <t>ATRIUM - 60Lg armaflex 40, 75Lg armaflex 32</t>
  </si>
  <si>
    <t>PRIMMO - 2 Bouteilles azote, 2 acetylene, 2 oxygene</t>
  </si>
  <si>
    <t>PRIMMO - 10 Journaliers /Container 5</t>
  </si>
  <si>
    <t>PRIMMO - 5Gaz propene GF, 50 Colliers galva 50</t>
  </si>
  <si>
    <t>ATRIUM - Petit matériel  cfr bon 3974</t>
  </si>
  <si>
    <t>ATRIUM - 5Crts colle contact de 1L</t>
  </si>
  <si>
    <t>LOSEMBE 1 - 5Disques ponçage &amp; 1L vernis table/BUREAU</t>
  </si>
  <si>
    <t>FRANCK - Achat 1 batterie NISSAN/DG</t>
  </si>
  <si>
    <t>SUCRIERE - Retour s/achat 2 Splits 18000btu BRICOKIN</t>
  </si>
  <si>
    <t>CHICK - - Achat eau DG &amp; BUREAU</t>
  </si>
  <si>
    <t>Prospere LIHOZA - Reparation pneu NISSAN / DG</t>
  </si>
  <si>
    <t>Prospere LIHOZA - Carburant NISSAN / DG</t>
  </si>
  <si>
    <t>DIDIER - 5L liquide de refroidissement NISSAN/DG</t>
  </si>
  <si>
    <t>LIOKO - Transport Cité verte</t>
  </si>
  <si>
    <t>RESIDENCE IVAN - 1 Mecanisme toilette/Visiteurs</t>
  </si>
  <si>
    <t>UTEXAFRICA - 1 Sac ciment gris, 1 brouette de sable</t>
  </si>
  <si>
    <t>PRIMMO - 10 Coudes en cu 7/8</t>
  </si>
  <si>
    <t>PRIMMO - 5 Crts colle contact, 1bte marker bic&amp;20 cache-nez</t>
  </si>
  <si>
    <t>DIDIER - 10L huile moteur &amp; 2L Huile hydrau STOCK</t>
  </si>
  <si>
    <t>IMMEUBLE SERKAS - 2026.01/DA/65</t>
  </si>
  <si>
    <t>ATRIUM - 10Crts vis PITON 8 &amp; 20 crts chevilles 8</t>
  </si>
  <si>
    <t xml:space="preserve">LOSEMBE 1 - Transport RESIDENCE IVAN     </t>
  </si>
  <si>
    <t>British Embassy - Location camion grue 2 jours</t>
  </si>
  <si>
    <t>ATRIUM - 1 Peigne redressement aillettes</t>
  </si>
  <si>
    <t>Charles DIVANGAMENE - Electricité auto NISSAN PATROL</t>
  </si>
  <si>
    <t>URBAIN - Produits entretien BUREAU</t>
  </si>
  <si>
    <t>AFRICANA PALACE - Facture 2026.01/DA/67</t>
  </si>
  <si>
    <t>DIDIER - Reparation pneu NISSAN PATROL</t>
  </si>
  <si>
    <t>KWAMI - Decapage &amp; crepissage mur RESIDENCE IVAN</t>
  </si>
  <si>
    <t>RESIDENCE IVAN - 1 Joint machine à laver</t>
  </si>
  <si>
    <t>MAJESTIC - 1 Sonde chambre froide negative</t>
  </si>
  <si>
    <t>BRITISH EMBASSY - 60m cable 4x2,5mm²</t>
  </si>
  <si>
    <t>Gregory KABOMBO - Transport mensuel UPN</t>
  </si>
  <si>
    <t>UNICEF/LUSHI - Dedouanement colis</t>
  </si>
  <si>
    <t>BRITISH EMBASSY - 2 Chaussures de securité</t>
  </si>
  <si>
    <t>RESIDENCE IVAN - SEL PISCINE</t>
  </si>
  <si>
    <t>SUCRIERE - Prestations agents 02/2026</t>
  </si>
  <si>
    <t>ELECTROCOOL - Acpte paie agents 02/2026</t>
  </si>
  <si>
    <t>EGSC - Acpte paie agents 02/2026</t>
  </si>
  <si>
    <t>TEMPORAIRES - Prestations 02/2026</t>
  </si>
  <si>
    <t>CDT - Cotisation syndicale 02/2026</t>
  </si>
  <si>
    <t>RESIDENCE IVAN - Paie agents 02/2026</t>
  </si>
  <si>
    <t>RESIDENCE DG - Paie agents 02/2026</t>
  </si>
  <si>
    <t>Osée TSAS - Transport KINKOLE avec fans</t>
  </si>
  <si>
    <t>RESIDENCE KAWELE - Redevance ASC 02/2026   SN37</t>
  </si>
  <si>
    <t>MUMBIMBI - Reparation pneu NISSAN PATROL</t>
  </si>
  <si>
    <t>MUMBIMBI - Reparation pneu JAC/CONTAINER</t>
  </si>
  <si>
    <t>Immeuble IMANI - Facture 2026.01/DA/58</t>
  </si>
  <si>
    <t>KINKOLE - Frais maintenanciers+supplement transport</t>
  </si>
  <si>
    <t>UTEX - 18 Piles touches cfr GEORGES</t>
  </si>
  <si>
    <t>PROSPERE LIHOZA - Carburant NISSAN / DG</t>
  </si>
  <si>
    <t>PROSPERE LIHOZA - Communications</t>
  </si>
  <si>
    <t>Poupon IKELE - Bache bateau IY</t>
  </si>
  <si>
    <t>MAJESTIC - 1 Bouteille freon R404</t>
  </si>
  <si>
    <t>PRIMMO - 5 Crts colle contact</t>
  </si>
  <si>
    <t>ATRIUM - Crts colle contact</t>
  </si>
  <si>
    <t xml:space="preserve">LIOKO - Transport MONKOLE </t>
  </si>
  <si>
    <t>GEORGES - 1 Chambre à air NISSAN PATROL</t>
  </si>
  <si>
    <t>ATRIUM - Evacuation poubelle 4e Etage</t>
  </si>
  <si>
    <r>
      <t>DEV GROUP-</t>
    </r>
    <r>
      <rPr>
        <b/>
        <sz val="9"/>
        <rFont val="Calibri"/>
        <family val="2"/>
        <scheme val="minor"/>
      </rPr>
      <t>Fact.2025/SN/129-149-164-174 &amp; 2026.01/SN/12</t>
    </r>
  </si>
  <si>
    <t>PRIMMO - 5Pqts electrodes 2,25 &amp; 10pqts baguettes ag</t>
  </si>
  <si>
    <t>ATRIUM - 3L miel &amp; 1bte lait</t>
  </si>
  <si>
    <t>PRIMMO - 3L miel &amp; 1 bte lait</t>
  </si>
  <si>
    <t>COMIMMO 2 - 2 Bouteille acetylene, 2 oxygene</t>
  </si>
  <si>
    <t xml:space="preserve">LOSEMBE 1 - Eclairage entrepot NDOLO </t>
  </si>
  <si>
    <t>COMIMMO 2 - Acpte Facture 2025/DA/114</t>
  </si>
  <si>
    <t>JAPAN MOTORS - Facture 2026.02/DT/31</t>
  </si>
  <si>
    <t>SOGIC - Facture 2026.02/DA/72-73</t>
  </si>
  <si>
    <r>
      <t>LYS SARL-</t>
    </r>
    <r>
      <rPr>
        <b/>
        <sz val="9"/>
        <rFont val="Calibri"/>
        <family val="2"/>
        <scheme val="minor"/>
      </rPr>
      <t>Fact.2025/SN/161-166-102-111-126-144-162-167</t>
    </r>
  </si>
  <si>
    <r>
      <t xml:space="preserve">                     </t>
    </r>
    <r>
      <rPr>
        <b/>
        <sz val="9"/>
        <rFont val="Calibri"/>
        <family val="2"/>
        <scheme val="minor"/>
      </rPr>
      <t>&amp;2026.01/SN/6-8-21-23</t>
    </r>
  </si>
  <si>
    <t>IY - RETRAIT cfr CAISSE</t>
  </si>
  <si>
    <t>leko - Carburant IST</t>
  </si>
  <si>
    <t>KNTC - Acpte fournit. Système detect°, extincteurs, devidoirs</t>
  </si>
  <si>
    <t>MAMBA SECURITY - Facture NDOLO 11-12/2025</t>
  </si>
  <si>
    <t>MAMBA SECURITY - Facture RESIDENCE IY 11-12/2025</t>
  </si>
  <si>
    <t>MOATEZ MAIEL - Rbrst depenses &amp; communication 01/2026</t>
  </si>
  <si>
    <t>URBAIN - 4 Cartouches toner cfr USCT</t>
  </si>
  <si>
    <t>ETS NEW CEPRONAC - Passage immondices residence 02/2026</t>
  </si>
  <si>
    <t>PGHK - HS wapetwa, imbana, menga, matondo, steve, prospere</t>
  </si>
  <si>
    <t>PGHK - HS samedi 06-07/12/2025 matondo</t>
  </si>
  <si>
    <t>PROSPERE - Divers 02/2026</t>
  </si>
  <si>
    <t>MAKIESE Pierre - Divers 02/2026</t>
  </si>
  <si>
    <t>Poupon IKELE - Solde mecano CHICO/Bateau IY</t>
  </si>
  <si>
    <t>SALAMA CONGO - Abonnement mensuel sécurité 03/2026</t>
  </si>
  <si>
    <t>MOATEZ MAIEL - Prestations 02/2026</t>
  </si>
  <si>
    <t>Monsieur THOMAS - Facture 2026.02/SN/34</t>
  </si>
  <si>
    <t>SHEHENAJ L.M. - Facture 2026.02/SN/25-35</t>
  </si>
  <si>
    <t>Immeuble DELPHIN - Facture 2026.01/DA/66</t>
  </si>
  <si>
    <t>COMMUNAUTE HELLENIQUE - Facture 2026.02/DA/85</t>
  </si>
  <si>
    <t>RS HOLDING - 1 Bouteille freon R410A</t>
  </si>
  <si>
    <t>FRANCK - Course de service cfr MIESSI/Dos. Montassar</t>
  </si>
  <si>
    <t>LPL - HS samedi 03 &amp; 05/01/2026 13 agents</t>
  </si>
  <si>
    <t>CDI - Mise à dispo / REGUL TVA 2025</t>
  </si>
  <si>
    <t>IMMEUBLE MALAIKA - Facture 2026.01/SN/13</t>
  </si>
  <si>
    <t>A ONE CONSTRUCTION - Facture 2026.02/SN/26</t>
  </si>
  <si>
    <t>IMMEUBLE MARIE YVETTE - Facture 2026.01/SN/14</t>
  </si>
  <si>
    <t>ESPACE SHADARY - Facture 2025/SN/138-139</t>
  </si>
  <si>
    <t>COMIMMO 2 - 5 Bidons vides 25L</t>
  </si>
  <si>
    <t>GEORGES - Retour s/achat sonde MAJESTIC</t>
  </si>
  <si>
    <t>ATRIUM/COMIMMO - Pt journaliers cfr FRANCK</t>
  </si>
  <si>
    <t>BANGAMO - 6 jetons de presence cfr REUNION</t>
  </si>
  <si>
    <t>ZHENDRE - Amende frais douane &amp; manutention</t>
  </si>
  <si>
    <t>MR KETELEER PRINCE - Facture 2026.01/SN/5</t>
  </si>
  <si>
    <t>ATRIUM - 5 Meches à beton 5&amp;10</t>
  </si>
  <si>
    <t>COMIMMO2 - Meches à diamant 10-12, disque c230---</t>
  </si>
  <si>
    <t>ATRIUM - 15Tès Y pvc 40&amp; 20Tès pvc 32</t>
  </si>
  <si>
    <t>IMMEUBLE SERKAS - Facture 2026.02/DA/92</t>
  </si>
  <si>
    <t>DIDIER - Transport RESIDENCE ivan</t>
  </si>
  <si>
    <t>MUMBIMBI - TRFT P/C Serge KABULO</t>
  </si>
  <si>
    <t>EBCDC - USD RETRAIT</t>
  </si>
  <si>
    <t>EGSC - CNSS 02/2026</t>
  </si>
  <si>
    <t>EGSC - IPR 02/2026</t>
  </si>
  <si>
    <t>ELECTROCOOL - Quinzaine 02:2026</t>
  </si>
  <si>
    <t>ATRIUM - HS lundi au vendredi 02-06/03/2026 11 agents</t>
  </si>
  <si>
    <t>CDI - Frais REGUL TVA 2025</t>
  </si>
  <si>
    <t>ATRIUM - 10 Coudes cu 3/4 Etage 4</t>
  </si>
  <si>
    <t>PRIMMO - 20 Toiles isolantes 50x5</t>
  </si>
  <si>
    <t>ATRIUM - SOLDE HS 10 personnes du lundi au samedi</t>
  </si>
  <si>
    <t>BILE - Location ehaffaudage COMIMMO</t>
  </si>
  <si>
    <t>KINKOLE - TRANSPORT JOURNALIERS ENTRETIEN/CF</t>
  </si>
  <si>
    <t>RESIDENCE DG - 1kg soude caustique</t>
  </si>
  <si>
    <t>NANCY - achat sims ORANGE &amp; divers</t>
  </si>
  <si>
    <t>MANGA FLORE - Desinsectisation jardin IY 10-11/2025</t>
  </si>
  <si>
    <t>MONKOLE - Transport MONKOLLE cfr Bosako</t>
  </si>
  <si>
    <t>RESIDENCE DG - Quinzaine agents 03/2026</t>
  </si>
  <si>
    <t>RESIDENCE IY - Quinzaine agents 03/2026</t>
  </si>
  <si>
    <t>PRospère LIHOZA - Communications</t>
  </si>
  <si>
    <t>UTEXAFAFRICA - 10 Cornières 30, 10barres fer---</t>
  </si>
  <si>
    <t>EUNICE - 2 Btes produit soudal/ETANCHEITE</t>
  </si>
  <si>
    <t>ATRIUM - 5Pqts vis moyen</t>
  </si>
  <si>
    <t>SUCRIERE -  Karchers RONIX</t>
  </si>
  <si>
    <t>TMB - USD RETRAIT</t>
  </si>
  <si>
    <t>FRANCK - Amende PCR / JAC CONTAINER - Auto station</t>
  </si>
  <si>
    <t>Osée TSASA - Transport pour approbation faction PEV</t>
  </si>
  <si>
    <t>LEKO - Reparation pneu</t>
  </si>
  <si>
    <t>GEORGES - Petit outillage Equipe/DEPANNAGE</t>
  </si>
  <si>
    <t>PRIMMO - 1 Bouteille acétylène</t>
  </si>
  <si>
    <t>ATRIUM - 5Pqts colson</t>
  </si>
  <si>
    <t>MNAOUER - 26 serre cables</t>
  </si>
  <si>
    <t>DIDIER - 1 Batterie IST</t>
  </si>
  <si>
    <t>LOSEMBE 1 - 2 Ballastrs, 2 tubes, 1 lampe eco NDOLO</t>
  </si>
  <si>
    <t>KINKOLE - Quinzaine maintenanciers HUB 03/2026</t>
  </si>
  <si>
    <t>ALBERT - Carburant groupe NDOLO</t>
  </si>
  <si>
    <t>LOSEMBE 1 - Reparation NACELL</t>
  </si>
  <si>
    <t>Immeuble legrey - Facture 2026.02/SN/43</t>
  </si>
  <si>
    <t>DIDIER - Course de service/Depannage JAC CONTAINER</t>
  </si>
  <si>
    <t>MBENKIE - Amende DGRK/PCR / Circulation la journée</t>
  </si>
  <si>
    <t>INGA - Frais mission 7 jours HANS KISOLA</t>
  </si>
  <si>
    <t>ATRIUM - HS dimanche 25/01/2026</t>
  </si>
  <si>
    <t>UK EMBASSY - Location camion grue 2 jours</t>
  </si>
  <si>
    <t>LYS HEAVEN - Impression 24 plans</t>
  </si>
  <si>
    <t>KWAMI - Décapage&amp;crepissage salon/RESIDENCE IVAN</t>
  </si>
  <si>
    <t>DIDIER - Transport RESIDENCE IVAN</t>
  </si>
  <si>
    <t>ATRIUM - 5 Crts colle contact Etage 4</t>
  </si>
  <si>
    <t>ATRIUM - Accessoires divers cfr bon 3927 Etage 4</t>
  </si>
  <si>
    <t>UK EMBASSY - Accessoires divers cfr bon 3928</t>
  </si>
  <si>
    <t>NANCY - Frais DGM / Obtention 2 visas volants</t>
  </si>
  <si>
    <t>JEAN KIABA - Prêt société cfr IVAN</t>
  </si>
  <si>
    <t>ATRIUM - HS du 09/03 au 14/03/2026  11agents</t>
  </si>
  <si>
    <t>DIDIER - 1Radiateur, 5L liquide refroidissemment----</t>
  </si>
  <si>
    <t xml:space="preserve">AGL/SIEGE - 2 Chaussures de sécurité </t>
  </si>
  <si>
    <t>Prospere LIHOZA - Carburant NISSAN PATROL</t>
  </si>
  <si>
    <t>Prospere LIHOZA - Communications</t>
  </si>
  <si>
    <t xml:space="preserve">TMB USD - RETRAIT </t>
  </si>
  <si>
    <t>IMMEUBLE DELPHIN - Facture 2026,02/DA/91</t>
  </si>
  <si>
    <t>RESIDENCE KAWELE - Redevance MARS 2026</t>
  </si>
  <si>
    <t>LOSEMBE URBAIN - Transport A/R SUCRIERE</t>
  </si>
  <si>
    <t>PRIMMO - Location camion grue</t>
  </si>
  <si>
    <t>PGHK - Accessoires divers cfr bon 3930</t>
  </si>
  <si>
    <t>PRIMMO - 20 Disques c125</t>
  </si>
  <si>
    <t>DIDIER - 2 Batteries 12v JAC/CONTAINER</t>
  </si>
  <si>
    <t>ENOCK LIKUMA - Achat formulaires CPCC + Transport</t>
  </si>
  <si>
    <t>PRIMMO - 5 Cartons colle contact</t>
  </si>
  <si>
    <t>ATRIUM - 50 Nupples de charge 1/4</t>
  </si>
  <si>
    <t>NDOLO - 2 Journaliers / Deplacement matériels</t>
  </si>
  <si>
    <t>AFRICANA PALACE - Facture 2026.02/DA/90</t>
  </si>
  <si>
    <t>IY - Appro caisse</t>
  </si>
  <si>
    <t>Emile KABASELE - TRFT MPESA + FRAIS</t>
  </si>
  <si>
    <t>ATRIUM - HS mardi 17 au samedi 21/03/2026</t>
  </si>
  <si>
    <t>ATRIUM - 2 Bouteille azote, 1 acetylene, 1 oxygene</t>
  </si>
  <si>
    <t>AGB - Devis 50 carnets d'entretien prevantif</t>
  </si>
  <si>
    <t>LOSEMBE 1 - 2 Cylindres porte ARCHICE/TOILETTE</t>
  </si>
  <si>
    <t>ESPACE SHADARY - Facture 2026.01/SN/10</t>
  </si>
  <si>
    <t>IMMEUBLE IMANI - Facture 2026.02/SN/30</t>
  </si>
  <si>
    <t>ELECTROCOOL - Acompte paie 03/2026</t>
  </si>
  <si>
    <t>EGSC - Acompte paie 03/2026</t>
  </si>
  <si>
    <t>TEMPORAIRES - Prestations 03/2026</t>
  </si>
  <si>
    <t>CDT - Cotisation syndicale 03/2026</t>
  </si>
  <si>
    <t>SHEHENAJ L.M. - Facture 2026.03/SN/47-53-55</t>
  </si>
  <si>
    <t>MALEWU - Carburant  TATA DELUXE</t>
  </si>
  <si>
    <t>LIHOZA - Carburant NISSAN/DG</t>
  </si>
  <si>
    <t>LIHOZA PROSPERE - Communications</t>
  </si>
  <si>
    <t>LIHOZA PROSPERE - Reparation pneu NISSAN/DG</t>
  </si>
  <si>
    <t>LOSEMBE 1 - Transport PRIMMO</t>
  </si>
  <si>
    <t>RESIDENCE IVAN - Paie agents 03/2026</t>
  </si>
  <si>
    <t>RESIDENCE DG - Paie agents 03/2026</t>
  </si>
  <si>
    <t>KINKOLE - Prestations maintenanciers hub 03/2026</t>
  </si>
  <si>
    <t>MR MALIK - 7m joint isotherme CF Négative</t>
  </si>
  <si>
    <t>GEORGES - Achat escabelle 7 marches Equipe DEPANNAGE</t>
  </si>
  <si>
    <t>SUCRIERE - Prestations agents 03/2026</t>
  </si>
  <si>
    <t>IMMEUBLE LEGREY - Facture 2026.03.SN/54</t>
  </si>
  <si>
    <t>IMMEUBLE LEGREY - Facture 2026.03.SN/56</t>
  </si>
  <si>
    <t>ATRIUM - 1 scie cloche diametre 152</t>
  </si>
  <si>
    <t>PRIMMO/NDOLO - Evacuation poubelle</t>
  </si>
  <si>
    <t>DIDIER - Car burant groupe NDOLO</t>
  </si>
  <si>
    <t>LYS SARL - Devis DG/UYN-053-03-2026 SN/61</t>
  </si>
  <si>
    <t>KWAMI - Travaux local machine COMIMMO &amp; acpte M.O.</t>
  </si>
  <si>
    <t>MAIEL - Prestations SUCRIERE 03/2026</t>
  </si>
  <si>
    <t>IY - Cotisation Famille YSEBOOT/Mariage NANCY</t>
  </si>
  <si>
    <t>COTISATION ELC / Mariage NANCY</t>
  </si>
  <si>
    <t>CHARLES - Reparation electrique MITHUBISHI&amp;PATROL</t>
  </si>
  <si>
    <t>PGHK - 1 Tenue complet, chaussure+decoration NDAKUZU</t>
  </si>
  <si>
    <t>PRIMMO - 2 Bouteilles azote, 1 acetylene, 1 oxygene</t>
  </si>
  <si>
    <t>PRIMMO - 100m cable 4x2,5mm² &amp; 10 lames scie</t>
  </si>
  <si>
    <t>MANGA FLORE - Desinsectisation jardin 12/2025</t>
  </si>
  <si>
    <t>MAMBA SECURITY - Facture NDOLO&amp;RESIDENCE 01/2026</t>
  </si>
  <si>
    <t>KIABA JEAN - Prêt société</t>
  </si>
  <si>
    <t>SALAMA RDC - Abonnement mensuel 04/2026</t>
  </si>
  <si>
    <t>MUPEPE - Divers ONEC</t>
  </si>
  <si>
    <t>DIDIER - 1L huile frein, 2L huile hydrau, 10L moteur STOCK</t>
  </si>
  <si>
    <t>LOSEMBE1&amp;DIDIER - Transport PRIMMO</t>
  </si>
  <si>
    <t>Serge KABULO - TRFT MPESA/ Prestations 03/2026</t>
  </si>
  <si>
    <t>UTEXAFRICA - 30Disques c230, 1bte antirouille, thinner---</t>
  </si>
  <si>
    <t>PGHK - 1crt colle contact, 100chevilles+vis---</t>
  </si>
  <si>
    <t xml:space="preserve">ETS NEW CEPRONAC - Passage immondices RESIDENCE IY </t>
  </si>
  <si>
    <t>LYS HEAVEN - 1Rlx flexible 50</t>
  </si>
  <si>
    <t>UTEX/SILIKIN - 1 Bte colle tangit 500gr</t>
  </si>
  <si>
    <t>IMMEUBLE MARIE YVETTE - Redevance 02/2026</t>
  </si>
  <si>
    <t>LOSEMBE 1 - Transport / Reparation flexible NACELLE</t>
  </si>
  <si>
    <t>DG - Appro caisse</t>
  </si>
  <si>
    <t>JETONS DE PRESENCE CDT/WILLY</t>
  </si>
  <si>
    <t>MALEWU Pirins - Prestations 13 jours</t>
  </si>
  <si>
    <t>UK Embassy - HS mardi au jeudi 19/03/2026</t>
  </si>
  <si>
    <t>Prospere LIHOZA - COMMUNICATIONS</t>
  </si>
  <si>
    <t>MALEWU Pirens - HS /MONKOLE samedi 04/04/2026</t>
  </si>
  <si>
    <t>UTEXAFRICA - 10Lg cornieres 30; 10paires pomelle 16</t>
  </si>
  <si>
    <t>PRIMMO - 3Gaz propane &amp; 20disques c125</t>
  </si>
  <si>
    <t>A ONE CONSTRUCTION - Facture 2026.03/SN/48</t>
  </si>
  <si>
    <t>Mr THOMAS - Facture 2026.03/SN/52</t>
  </si>
  <si>
    <t>MBENKIE - Carburant jac:container</t>
  </si>
  <si>
    <t>LYS HEAVEN - Impression 1 plan</t>
  </si>
  <si>
    <t>LEKO - Frais parking aero NDOLO</t>
  </si>
  <si>
    <t xml:space="preserve">PRIMMO&amp;MAGASIN - 2 Pinceaux </t>
  </si>
  <si>
    <t>PRIMMO - 5Pqts nylon colson GF</t>
  </si>
  <si>
    <t>DIDIER - Filtres, plaquettes, bandes ARR, 10l hydrau</t>
  </si>
  <si>
    <t>ATRIUM - HS lundi au samedi 28/03/2026</t>
  </si>
  <si>
    <t>PGHK - 4 Petits galons degraissant CTA/SALON</t>
  </si>
  <si>
    <t>MAKIESE PIERRE - Divers 03/2026</t>
  </si>
  <si>
    <t>POSPERE LIHOZA - Divers 03/2026</t>
  </si>
  <si>
    <t>CHICK - Liquide de refroissement PRADO</t>
  </si>
  <si>
    <t>KWAMI - Acpte M.O. Travaux COIMIMMO</t>
  </si>
  <si>
    <t>ATRIUM - 5Pqts colliers colson MF</t>
  </si>
  <si>
    <t>NTUMBA - Impression QRCODE / SUCRIERE</t>
  </si>
  <si>
    <t>EGSC - CNSS 03/2026</t>
  </si>
  <si>
    <t>EGSC - IPR 03/2026</t>
  </si>
  <si>
    <t>CDT - Transport AGO / CDT-Agents</t>
  </si>
  <si>
    <t>Prospere LIHOZA - Achat telephone de service</t>
  </si>
  <si>
    <t>FRANCK - Abonnement ORANGE du 13/04 au 12/05/2026</t>
  </si>
  <si>
    <t>ELECTROCOOL - Quinzaine 04/2026</t>
  </si>
  <si>
    <t>EGSC - Quinzaine 04/2026</t>
  </si>
  <si>
    <t>TEMPORAIRES - Quinzaine 04/2026</t>
  </si>
  <si>
    <t>immeuble SERKAS - Facture 2026.03/DA/123</t>
  </si>
  <si>
    <t>RESIDENCE KAWELE - Facture AVRIL 2026</t>
  </si>
  <si>
    <t>CHICK - Complement transport agents RESIDENCE DG&amp;IY</t>
  </si>
  <si>
    <t>CLAUDE LUBAKI - CarburantPICKUP L200</t>
  </si>
  <si>
    <t xml:space="preserve">KINKOLE - Frais journaliers entretien CF/HUB </t>
  </si>
  <si>
    <t>ATRIUM - 15Lg armaflex 13mm 5/8, 15Lg 3/8, 15Lg 1/4</t>
  </si>
  <si>
    <t>HOTEL BELLA RIVA - 4 Nuitées MAIEL MOATAZ</t>
  </si>
  <si>
    <t>SOGIC - Facture 2026.03/DA/120-121</t>
  </si>
  <si>
    <t>KUSIEKITA WILLY - PRÊT SOCIETE</t>
  </si>
  <si>
    <t>UTEX/BCECO - 1 Sac ciment gris &amp; 4 bouettes sable</t>
  </si>
  <si>
    <t>RESIDENCE IVAN - 2Raccords union ppr 3/4</t>
  </si>
  <si>
    <t>KWAMI/COMIMMO - Construct° et finition local machine</t>
  </si>
  <si>
    <t>RESIDENCE DG - Quinzaine agents 04/2026</t>
  </si>
  <si>
    <t>RESIDENCE IVAN - Quinzaine agents 04/2026</t>
  </si>
  <si>
    <t>Frais SERGE - Entretien  ASC/KOLWEZI</t>
  </si>
  <si>
    <t>PRIMMO - 5Casques de protection &amp; 2 btes colle tangit</t>
  </si>
  <si>
    <t>KINKOLE - Quinzaine maintenanciers HUB 04/2026</t>
  </si>
  <si>
    <t>ATRIUM - 5Pqts colson MF, 20Toiles iso, 5crts colle contact</t>
  </si>
  <si>
    <t>LEKO - Prët société</t>
  </si>
  <si>
    <t>Immeuble TATELIE - Facture 2026.02/SN/28</t>
  </si>
  <si>
    <t>CHICK - COMMUNICATIONS</t>
  </si>
  <si>
    <t>LOSEMBE 1 - 2 Batteries 150A &amp; 1 chargeur/NACELL</t>
  </si>
  <si>
    <t>UK EMBASSY - 2Tenues completes, 2chaussures&amp;decorat°</t>
  </si>
  <si>
    <t>PRIMMO - 20Lg cornieres 30</t>
  </si>
  <si>
    <t>RESIDENCE DG - 2 spots led jaune &amp; 2 blanc</t>
  </si>
  <si>
    <t>DIDIER - 2Pneus 175/70 tata deluxe</t>
  </si>
  <si>
    <t>DIDIER - Frais reparation TATA DELUXE</t>
  </si>
  <si>
    <t>LYS TOWER - Devis DG/UYN-069-04-2026</t>
  </si>
  <si>
    <t>FRANCK - Frais PCR / TATA DELUXE</t>
  </si>
  <si>
    <t>LYS HEAVEN - Petit outillage cfr bon 3884</t>
  </si>
  <si>
    <t>LYS HEAVEN - Accessoires divers cfr bon 3881</t>
  </si>
  <si>
    <t>GEORGES - Frais remorquage NISSAN PATROL</t>
  </si>
  <si>
    <t>RESIDENCE IVAN - Facture REGIDESO 03/2026</t>
  </si>
  <si>
    <t>LYS HEAVEN - Frais impression plans</t>
  </si>
  <si>
    <t>RESIDENCE EMERAUDE - Facture 2026.01/SN/2</t>
  </si>
  <si>
    <t>RESIDENCE EMERAUDE - Facture 2026.01/SN/31</t>
  </si>
  <si>
    <t>SOGIC - Facture 2026.01/DA/42-64</t>
  </si>
  <si>
    <t>COMMUNAUTE HELLENIQUE - Fact.136-1-188/2026</t>
  </si>
  <si>
    <t>MODESTE/STS - Service de samedi 18/04/2026</t>
  </si>
  <si>
    <t>ATRIUM - Frais transport / Livraison CTA</t>
  </si>
  <si>
    <t>JP - Frais aero</t>
  </si>
  <si>
    <t>PRIMMO - 10 Coudes cu 3/4</t>
  </si>
  <si>
    <t>KINKOLE - Frais journaliers entretien CF/HUB+Transport</t>
  </si>
  <si>
    <t>MUPEPE - Acpte honoraires 2025</t>
  </si>
  <si>
    <t>MUTORO - Légalisation PROTOCOLE D'ACCORD cfr SMIG</t>
  </si>
  <si>
    <t>Charles DIVANGAMENE - Electricité TATA &amp; NISSAN P.</t>
  </si>
  <si>
    <t>COMMUNICATIONS franck, kusiekita, bangamo&amp;ndona</t>
  </si>
  <si>
    <t>NDOLO - Facture REGIDESO 03/2026</t>
  </si>
  <si>
    <t>LYS HEAVEN - 1Pqt clous 10 &amp; 2 pomelles GF</t>
  </si>
  <si>
    <t>PRIMMO - 2Tenues completes, 2 chaussures securité+2casques</t>
  </si>
  <si>
    <t>PRIMMO - 5Crts colle contact</t>
  </si>
  <si>
    <t>GEORGES - Location grue / TMB</t>
  </si>
  <si>
    <t>RESIDENCE IVAN - 10Toles G28 + 3PQTS CLOUS</t>
  </si>
  <si>
    <t>Produits entretien BUREAU</t>
  </si>
  <si>
    <t>ATRIUM - 1 Bache bleu CTA</t>
  </si>
  <si>
    <t>CHICK - Reparation pneusPRADO/DG</t>
  </si>
  <si>
    <t>KWAMI - Solde M.O. Travaux COMIMMO</t>
  </si>
  <si>
    <t>KWAMI - Fixation roofing dalle COMIMMO</t>
  </si>
  <si>
    <t>PRIMMO - 10 pqts baguettes en ag</t>
  </si>
  <si>
    <t>AUTOPARTS H.S.K - Solde svt relevé du 22/04/2026</t>
  </si>
  <si>
    <t>MAMBA SECURITY - Facture 02-03-04/2026 RESIDENCE IY</t>
  </si>
  <si>
    <t>DFSN - Facture 2026,03/SN/67</t>
  </si>
  <si>
    <t>MAGASIN DIPLOMATIQUE - Facture 2026.03/SN/68</t>
  </si>
  <si>
    <t>C.H REFERENCE LIBIKISI - Soins agents 02/2026</t>
  </si>
  <si>
    <t>RESIDENCE DG - 1 Interrupteur hermetique encastré</t>
  </si>
  <si>
    <t>IMM.PANORAMA - HS 01 &amp; 04/01/2026 hans</t>
  </si>
  <si>
    <t>RS HOLDING - HS jeudi 05/03/2026 losembe2, makanda, nzola</t>
  </si>
  <si>
    <t>HANS/LIOKO - HS 05 hans&amp;06/03/2026 hans&amp;lioko</t>
  </si>
  <si>
    <t>RESI.EBALE - HS dimanche 15/03/2026 hans</t>
  </si>
  <si>
    <t>BAMBOU 1 - HS samedi 14/03/2026 hans, bosco, mane</t>
  </si>
  <si>
    <t>UK Embassy - HS mardi 17&amp;19/03/2026</t>
  </si>
  <si>
    <t>ATRIUM - HS 06/04/2026 brandon</t>
  </si>
  <si>
    <t>PGHK - 4 Plaquettes piles</t>
  </si>
  <si>
    <t>GEORGES - Transport moto</t>
  </si>
  <si>
    <t>Mr Peter DEBOTTER - Facture 2026.04/SN/69</t>
  </si>
  <si>
    <t>MAMBA SECURITY - Facture 02-03-04/2026 NDOLO</t>
  </si>
  <si>
    <t>GEORGES KIALA - Acompte RETRAITE</t>
  </si>
  <si>
    <t>RESIDENCE DG - 1 Balastr electronique</t>
  </si>
  <si>
    <t>MONKOLE/EZER - Transport bosako&amp;mane</t>
  </si>
  <si>
    <t>EZER - HS samedi &amp; dimanche 19/04/2026 mane</t>
  </si>
  <si>
    <t>ALBERT - Reaparation pneus NISSAN PATROL</t>
  </si>
  <si>
    <t>LYS HEAVEN - 50m cable 3,25mm²</t>
  </si>
  <si>
    <t>PRIMMO - 20lames de scie</t>
  </si>
  <si>
    <t>ATRIUM - 10Pqts colson GF</t>
  </si>
  <si>
    <t>LYS HEAVEN - 2 Flexiometres 8m &amp; 2pointeaux foreuse</t>
  </si>
  <si>
    <t>ATRIUM - 1 APPAREIL DIJONNEUR</t>
  </si>
  <si>
    <t>ATRIUM - 1 Bouteille azote</t>
  </si>
  <si>
    <t>LYS HEAVEN - 1Triplex 6cm &amp; 1 scie en bois</t>
  </si>
  <si>
    <t>UTEX - 1 Pqt baguette 30,25 &amp; 1 pqt 2,25</t>
  </si>
  <si>
    <t>FRANCK - 10L G.O pour entretien ASC</t>
  </si>
  <si>
    <t>VLISCO - 1 Controleur de phase</t>
  </si>
  <si>
    <t>TMB - 4 Journaliers cfr GEORGES</t>
  </si>
  <si>
    <t>ELECTROCOOL - PAIE 04/2026</t>
  </si>
  <si>
    <t>EGSC - PAIE 04/2026</t>
  </si>
  <si>
    <t>TEMPORAIRES 04/2026</t>
  </si>
  <si>
    <t>CDT - Cotisation syndicale 04/2026</t>
  </si>
  <si>
    <t>WILLY - Reparation telephone</t>
  </si>
  <si>
    <t>FRANCK - Evacuation poubelle PRIMMO/NDOLO</t>
  </si>
  <si>
    <t>IMMEUBLE DELPHIN - Facture 2026.03/DA/114</t>
  </si>
  <si>
    <t>RESIDENCE DG - 1 CAPA 55µf</t>
  </si>
  <si>
    <t>IY - Approvivisionnement CAISSE</t>
  </si>
  <si>
    <t>YAMAFRET - Diverses factures</t>
  </si>
  <si>
    <t>AGL - Accès tarmac aero</t>
  </si>
  <si>
    <t>PRIMMO - Accessoires cfr bon 3655</t>
  </si>
  <si>
    <t>RETOUR PAIE NSIMBA NTOMOSO</t>
  </si>
  <si>
    <t>LEKO - CARBURANT IST</t>
  </si>
  <si>
    <t>LOSEMBE 1 - Course de service / Recherche machine à vaisselle</t>
  </si>
  <si>
    <t>ATRIUM - 4 Tenues completes journaliers</t>
  </si>
  <si>
    <t>UTEX - 3Pqts chevilles+vis 14</t>
  </si>
  <si>
    <t>FRANCK - Reparation pneus PRADO</t>
  </si>
  <si>
    <t>CITIGROUP - 1 Propane &amp; 1pqt baguette en ag</t>
  </si>
  <si>
    <t>IMMEUBLE IMANI - Facture 2026.03/SN/65</t>
  </si>
  <si>
    <t>JAPAN MOTORS AFRICA - Fact.2026.04/DT/70</t>
  </si>
  <si>
    <t>MBENKIE - Frais intervention militaire / JAC en panne</t>
  </si>
  <si>
    <t>MIESSI - Ouverture compte SIMCA</t>
  </si>
  <si>
    <t>ESPACE SHADARY - Facture 2026.01/SN/15</t>
  </si>
  <si>
    <t>DIDIER - Transport PRIMMO / Jac en panne</t>
  </si>
  <si>
    <t>LYS HEAVEN - 1 Niveau laser</t>
  </si>
  <si>
    <t>BANGAMO - Paiement 2 JOURS DE MALADIE</t>
  </si>
  <si>
    <t>MAKIESE Pierre - Divers 04/2026</t>
  </si>
  <si>
    <t>LIHOZA Prospere - Divers 04/2026</t>
  </si>
  <si>
    <t>Serge KABULO - TRFT MPESA/ Prestations 04/2026+Frais</t>
  </si>
  <si>
    <t>IY - APPRO CAISSE</t>
  </si>
  <si>
    <t>MANGO INTERNATIONAL  - Travaux projet LYS HEAVEN</t>
  </si>
  <si>
    <t>Charles DIVANGAMENE - Electricité TATA SUPER &amp; JAC ANCIEN</t>
  </si>
  <si>
    <t>MBENKIE - Securité vehicule &amp; remorquage JAC</t>
  </si>
  <si>
    <t>AFRICANA PALACE - Facture 2026.03/DA/99</t>
  </si>
  <si>
    <t>IMMEUBLE MARIE YVETTE - Facture 2026.03/SN/59</t>
  </si>
  <si>
    <t>LYS HEAVEN - Impression plans</t>
  </si>
  <si>
    <t xml:space="preserve">PRIMMO - Transport MBENKIE PRIMMO </t>
  </si>
  <si>
    <t>EGSC - Déclaration sans activités 2026/2025+Frais</t>
  </si>
  <si>
    <t>Osée TSASA - Transport / Approbation factures UNICEF</t>
  </si>
  <si>
    <t>RESIDENCE DG - Paie agents 04/2026</t>
  </si>
  <si>
    <t>RESIDENCE IY - Paie agents 04/2026</t>
  </si>
  <si>
    <t>RESIDENCE IY - Eclairage parking &amp; toilettes</t>
  </si>
  <si>
    <t>PRIMMO - 2Pqts chevilles 8 + vis</t>
  </si>
  <si>
    <t xml:space="preserve">LYS HEAVEN - 4 Chaises plastiques + 1 table </t>
  </si>
  <si>
    <t>MAIEL - PRESTATIONS 04/2026</t>
  </si>
  <si>
    <t>SUCRIERE - Prestations agents 04/2026</t>
  </si>
  <si>
    <t>CDI - Divers dépôt bilan 2026/2025</t>
  </si>
  <si>
    <t>UTEXAFRICA - 4 Journaliers livraison POOL HOUSE</t>
  </si>
  <si>
    <t>KINKOLE - Supplement transport maintenanciers</t>
  </si>
  <si>
    <t>TMB - HS samedi 21/03/2026 lioko, nsiala</t>
  </si>
  <si>
    <t>PGHK - HS 14/04/2026 wapetwa, ndakusu, didier, ngombo</t>
  </si>
  <si>
    <t>FRANCK - Divers pour adduction eau citerne STS</t>
  </si>
  <si>
    <t>KWAMI - Achat 1 pousse sable COMIMMO</t>
  </si>
  <si>
    <t>SHEHENAJ - Facture 2026.04/SN/71-72</t>
  </si>
  <si>
    <t>CDI - Divers TAXI MOTO</t>
  </si>
  <si>
    <t>Divers CDI</t>
  </si>
  <si>
    <t>RS HOLDING - VENTE 2 Bouteilles nettoyage INOX</t>
  </si>
  <si>
    <t xml:space="preserve">JOURNAL MENSUEL  DE CAISSE </t>
  </si>
  <si>
    <t>immeuble LEGREY - Facture 2026.01/SN/9</t>
  </si>
  <si>
    <t xml:space="preserve">IMMEUBLE EBATA - Acpte Factures </t>
  </si>
  <si>
    <t>BAT CONGO - Acpte travaux encastrement &amp; condensat</t>
  </si>
  <si>
    <t>MIESSI - Legalisation A.G.O. 2026/2025</t>
  </si>
  <si>
    <t>WAPETWA/MAMBINI/LUBAKI - Transport chantiers</t>
  </si>
  <si>
    <t>Emile KABASELE - IRL RESIDENCE IVAN</t>
  </si>
  <si>
    <t>BLAISE/DGM - Collation cfr visas volant (VERRVE-BOSSUT)</t>
  </si>
  <si>
    <t>PRIMMO - 1 Bouteille azote</t>
  </si>
  <si>
    <t>losembe 1 - Reparation fenetre cuisine BUREAU/NDOLO</t>
  </si>
  <si>
    <t>MNOUER - 1 SIM de pointage avec recharge</t>
  </si>
  <si>
    <t>SHEHENAJ L.M. - Facture 2026.03/SN/66</t>
  </si>
  <si>
    <t xml:space="preserve">IY - APPRO CAISSE </t>
  </si>
  <si>
    <t>MUPEPE - Solde honoraies comptables EX.2026/2025</t>
  </si>
  <si>
    <t>MUTORO - Frais RAPPORT CONTRÔLE de 2024 à 2026</t>
  </si>
  <si>
    <t>MNAOUER - Prestations 04/2026</t>
  </si>
  <si>
    <t>MOATAZ - Communications 02-03/2026</t>
  </si>
  <si>
    <t>MOATAZ - Divers achats</t>
  </si>
  <si>
    <t>KINKOLE - Frais maintenanciers HUB 04/2026</t>
  </si>
  <si>
    <t>ATRIUM - Accessoires divers cfr bon 3670</t>
  </si>
  <si>
    <t>ATRIUM - 60Lg armaflex 32</t>
  </si>
  <si>
    <t>MAGASIN - 50Toiles iso, 5pqt baguette ag, 5gaz butane GF</t>
  </si>
  <si>
    <t>MAGASIN - 10 Capas  50µf, 40&amp;45µf, 35+5µf &amp; 20 de 1,5µf</t>
  </si>
  <si>
    <t>MAGASIN - 1Bouteille freon 410 &amp; 1R22</t>
  </si>
  <si>
    <t>MAGASIN - 1 Sac locks pour entretien</t>
  </si>
  <si>
    <t>Complement transport agents RESIDENCE IY &amp; DG</t>
  </si>
  <si>
    <t>DIDIER - Reparation pneu TATA DELUXE</t>
  </si>
  <si>
    <t>PGHK - Accessoires divers cfr bon 3934</t>
  </si>
  <si>
    <t>PRIMMO - 10 Disques c125, 2Gaz propane GF</t>
  </si>
  <si>
    <t>Osée KAMBU - Course de service A/R PEV</t>
  </si>
  <si>
    <t>SALAMA RDC - Abonnement mensuelle 05/2026</t>
  </si>
  <si>
    <t>ATRIUM - 1Rlx tube cu 1/4, 8Lg armaflex 1/4</t>
  </si>
  <si>
    <t>SUCRIERE - 2 Bouteilles freon 410 1 R22</t>
  </si>
  <si>
    <t>IY - APPRO. CAISSE</t>
  </si>
  <si>
    <t>MAMBINI MOMPATA - Avance pension de retraite</t>
  </si>
  <si>
    <t>WAPETWA - Avance pension de retraite</t>
  </si>
  <si>
    <t>URBAIN - Transport Bureau/CITIBANK</t>
  </si>
  <si>
    <t>LYS HEAVEN - Impression 24 plans A1</t>
  </si>
  <si>
    <t>MNAOUER - Frais visa entrée/sortie</t>
  </si>
  <si>
    <t>DIDIER - 10L huile moteur &amp; 1L huile frein / STOCK</t>
  </si>
  <si>
    <t>LOSEMBE 1 - Transport de contrôle de NACELLE</t>
  </si>
  <si>
    <t>A ONE CONSTRUCT - Facture 2026.04./SN/75</t>
  </si>
  <si>
    <t>IMMEUBLE SERKAS - Facture 2026.04/DA/141</t>
  </si>
  <si>
    <t>HANS KISOLA - Avance frais de mission LUSHI (72jrs)</t>
  </si>
  <si>
    <t>LOSEMBE 1 - 1G4 de 63A / Inverteur STS-ELC</t>
  </si>
  <si>
    <t>PRIMMO - 2 Meches carottes HILTI 63</t>
  </si>
  <si>
    <t>SUCRIERE - Disjoncteurs GV2 9à14A &amp; 6à10A</t>
  </si>
  <si>
    <t>SUCRIERE - Accessoires divers / Fabrication supports</t>
  </si>
  <si>
    <t>PRIMMO - Papiers colliers resiliant, plastics, collant GF</t>
  </si>
  <si>
    <t>SUCRIERE - Accessoires montage cfr bon 3689</t>
  </si>
  <si>
    <t>COMMUNAUTE HELLENIQUE - Fact.2026.04/DA/142</t>
  </si>
  <si>
    <t>IMMEUBLE TATELIE - Fact.2026.02/SN/42</t>
  </si>
  <si>
    <t>PROSPERE LIHOZA - Carburant NISSAN/DG</t>
  </si>
  <si>
    <t>LOSEMBE 1 - Transport RESIDENCE EBATA</t>
  </si>
  <si>
    <t>ELECTROCOOL - Quinzaine 05/2026</t>
  </si>
  <si>
    <t>EGSC - Quinzaine 05/2026</t>
  </si>
  <si>
    <t>TEMPORAIRES 05/2026</t>
  </si>
  <si>
    <t>TEMPLE - 1 Bouteille azote, 1 acetylene, 1 oxygene</t>
  </si>
  <si>
    <t>COMMUNICATIONS franck, kusiekita, bangamo &amp; ndona</t>
  </si>
  <si>
    <t xml:space="preserve">ATRIUM - 4 Journaliers du 30/04 au </t>
  </si>
  <si>
    <t>IMMEUBLE DELPHIN - Facture 2026.04/DA/140</t>
  </si>
  <si>
    <t>DIDIER - Pompe d'amorçage NISSAN/DG</t>
  </si>
  <si>
    <t>CHICK - Liquide de refroidissement PRADO/DG</t>
  </si>
  <si>
    <t>EGSC - CNSS 04/2026</t>
  </si>
  <si>
    <t>EGSC - IPR 04/2026</t>
  </si>
  <si>
    <t>PROSPERE - Reparation pneus NISSAN/DG</t>
  </si>
  <si>
    <t>KINKOLE - Transport journaliers entretien 2JOURS</t>
  </si>
  <si>
    <t>NANCY - Paiement ORANGE B2B</t>
  </si>
  <si>
    <t>SERGE/KOLWEZI - Trft mpesa+frais</t>
  </si>
  <si>
    <t>NSUELA - Retour QUINZAINE 05/2026</t>
  </si>
  <si>
    <t>ETS NEW CEPRONAC - Passage immondices RESIDENCE IY 04/2026</t>
  </si>
  <si>
    <t>DIDIER - Rechanges NISSAN PATROL/DG</t>
  </si>
  <si>
    <t>LOSEMBE 1 - Reparatio n toiture RESIDENCE IY</t>
  </si>
  <si>
    <t>LYS HEAVEN - Accessoires divers cfr bon 3693</t>
  </si>
  <si>
    <t>DIDIER - 2Pneus 700/16 JAC ANCIEN</t>
  </si>
  <si>
    <t>LONGALA &amp; MUKUNA - Quinzaine 05/2026</t>
  </si>
  <si>
    <t>SUCRIERE - Provisions 2eTRIM.2026  cfr bon 3695</t>
  </si>
  <si>
    <t>SUCRIERE - Provisions 2eTRIM.2026  cfr bon 3696</t>
  </si>
  <si>
    <t>ATRIUM - 2 Crts colle contact cfr BANGAMO</t>
  </si>
  <si>
    <t>ATRIUM - Accessoires cfr bon 3694</t>
  </si>
  <si>
    <t>RESIDENCE PRINCE - 1 Split GREE 12000BTU</t>
  </si>
  <si>
    <t>IMMEUBLE LEGREY - Facture 2026.04/SN/76</t>
  </si>
  <si>
    <t>FRANCK - Evacuation poubelle PRIMMO</t>
  </si>
  <si>
    <t>EBATA/RESIDENCE LILAS - 2 Fusibles 20A/Groupe</t>
  </si>
  <si>
    <t>ESPACE SAHADARY - Fact 2026.01/SN/16-2025/SN/124</t>
  </si>
  <si>
    <t>IMMEUBLE TATELIE - FACTURE 2026.03/SN/64</t>
  </si>
  <si>
    <t>ELECTROCOOL - TVA 04/2026 cfr Solidaire Bank</t>
  </si>
  <si>
    <t>ELECTROCOOL - IRPP 04/2026 cfr Solidaire Bank</t>
  </si>
  <si>
    <t>ELECTROCOOL - DPE1 04/2026 cfr Solidaire Bank</t>
  </si>
  <si>
    <t>ELECTROCOOL - Frais SOLIDAIRE BANK</t>
  </si>
  <si>
    <t>DIDIER - Reparation pneus TATA/DELUXE</t>
  </si>
  <si>
    <t>PRIMMO - 5 Chevilles compacte M12</t>
  </si>
  <si>
    <t>PRIMMO - 5Pqts baguettes electrodes 2,25</t>
  </si>
  <si>
    <t>MAMBINI MOMPATA - Acpte pension de retraite</t>
  </si>
  <si>
    <t>WAPETWA - Acpte pension de retraite</t>
  </si>
  <si>
    <t>LUBAKI MAYAMONA - Acpte pension de retraite</t>
  </si>
  <si>
    <t>RESIDENCE DG - Quinzaine agents 05/2026</t>
  </si>
  <si>
    <t>RESIDENCE IVAN - Quinzaine agents 05/2026</t>
  </si>
  <si>
    <t>FRANCK - Reparation foreuse</t>
  </si>
  <si>
    <t>MONKOLE - HS samedi 04/04/2026 hans, kamanda, budiaki</t>
  </si>
  <si>
    <t>BOSAKO - Transport MONKOLE</t>
  </si>
  <si>
    <t>HANS - Transport MONKOLE du 22&amp;28/04/2026</t>
  </si>
  <si>
    <t>SHADARY - HS ferié du 01/05/2026</t>
  </si>
  <si>
    <t>Bambou 1 - Achat 2 tubes &amp; 2 starters</t>
  </si>
  <si>
    <t>FRANCK - Frais PCR/PICKUP L200 (sans auto transport)</t>
  </si>
  <si>
    <t>MNAOUER - 1 Camera système cfr IY</t>
  </si>
  <si>
    <t>ECONOMIE - Frais contrôle 2024</t>
  </si>
  <si>
    <t>PROSPERE LIHOZA - Carburant NISSAN /DG</t>
  </si>
  <si>
    <t xml:space="preserve">PROSPERE LIHOZA - Communications </t>
  </si>
  <si>
    <t xml:space="preserve">MR PRINCE - 2Lg goulottes &amp; 2 angles </t>
  </si>
  <si>
    <t>MME VANESSA - Unités tel</t>
  </si>
  <si>
    <t>LPL - Fancy fair 2026</t>
  </si>
  <si>
    <t>LYS HEAVEN - 1 Meleuse makita PF &amp; 5disques diamant 130</t>
  </si>
  <si>
    <t>PRIMMO - 200 Chevilles compact M12</t>
  </si>
  <si>
    <t>ATRIUM - 1 Petit coffret à douilles</t>
  </si>
  <si>
    <t>lys heaven - 1 Sac ciment gris</t>
  </si>
  <si>
    <t>COMIMMO 2 - 6 Journaliers / Livraison inverseur</t>
  </si>
  <si>
    <t>LOSEMBE 1 - 8 PCES cillo epoxy/ Rep groupe NDOLO</t>
  </si>
  <si>
    <t>KWAMI - Avance</t>
  </si>
  <si>
    <t>LOSEMBE 1 - Tranport RESIDENCE IY-DG-EBATA</t>
  </si>
  <si>
    <t>COMIMMO 2 - 4M² Carreaux &amp; 1 sac ciment colle</t>
  </si>
  <si>
    <t>SUCRIERE - 2 Disjoncteurs GV2 13-18 &amp; 2 Disjincteurs 9-14</t>
  </si>
  <si>
    <t>RESIDENCE IVAN - Eclairage exterieur</t>
  </si>
  <si>
    <t>PRIMMO - Impression 7 plans A1</t>
  </si>
  <si>
    <t>FRANCK - Transport SUCRIERE</t>
  </si>
  <si>
    <t>MINISTERE ECONOMIE - FRAIS CONTRÔLE</t>
  </si>
  <si>
    <t>Me MIESSI - Frais certificat enregistrement NDOLO</t>
  </si>
  <si>
    <t>LIOKO - Frais enterrement de son fils mort-né</t>
  </si>
  <si>
    <t>UTEX/BCECO - 1 split GREE 12000BTU</t>
  </si>
  <si>
    <t>PRIMMO - 5 CRTS colle contact</t>
  </si>
  <si>
    <t>PRIMMO - 5 Disques diamant 230 &amp; 5 bombes polyresthane</t>
  </si>
  <si>
    <t>LYS HEAVEN</t>
  </si>
  <si>
    <t>IY - RETRAIT COMPTE/Rbrst appro caisse</t>
  </si>
  <si>
    <t>MNAOUER - Retour s:achat camera IY</t>
  </si>
  <si>
    <t>MNAOUER - Retour s:achat 4M² CARREAUX</t>
  </si>
  <si>
    <t>EZER - Achat colle + transport HANS</t>
  </si>
  <si>
    <t>COMIMMO 2 - Achat souliers de cable</t>
  </si>
  <si>
    <t>ATRIUM - 2 Crts colle contact</t>
  </si>
  <si>
    <t>IMMEUBLE MALAIKA - Facture 2026.04/SN/82</t>
  </si>
  <si>
    <t>ATRIUM - Coudes, btes colle tangit &amp; 20Lg armaflex 32</t>
  </si>
  <si>
    <t>CLAUDE - Reparation pneu PICKUP L200</t>
  </si>
  <si>
    <t>COMIMMO 4 - 1 disjoncteur 9-14A, &amp; 4 disjoncteurs 6-10A</t>
  </si>
  <si>
    <t>COMIMMO 4 - Accessoires cfr bon 3572</t>
  </si>
  <si>
    <t>AGL - Petit materiel cfr bon 3766</t>
  </si>
  <si>
    <t>QUCK PRINT - Plaque identification ELECTROCOOL</t>
  </si>
  <si>
    <t>PRIMMO - 3 Tenues complets+casques&amp;centure de securité</t>
  </si>
  <si>
    <t>COMIMMO 2 - 3m cable 4x10mm²</t>
  </si>
  <si>
    <t xml:space="preserve">HANS - Communications </t>
  </si>
  <si>
    <t>RESIDENCE IVAN - Facture REGIDESO 04/2026</t>
  </si>
  <si>
    <t>KWAMI - Avance perçage mur en beton / PRIMMO</t>
  </si>
  <si>
    <t>LOSEMBE 1 - Transport EBATA</t>
  </si>
  <si>
    <t>CHICK - 2 Enjoliveurs PRADO/ DG &amp; transport</t>
  </si>
  <si>
    <t>SALAMA - Achat ordinateur fixe</t>
  </si>
  <si>
    <t>SILIKIN - Petit materiel cfr bon 3767</t>
  </si>
  <si>
    <t>EBATA - Siphon, raccord flexible pvc &amp; silicone</t>
  </si>
  <si>
    <t>COMIMMO 4 - 5 Supports condenseurs &amp; pqts chevilles+vis 14</t>
  </si>
  <si>
    <t>IMMEUBLE IMANI - Facture 2024/SN/87</t>
  </si>
  <si>
    <t>VLISCO - Facture 2026.04/DT/76</t>
  </si>
  <si>
    <t>DIDIER - Carburant TATA/DELUXE</t>
  </si>
  <si>
    <t>RESIDENCE IVAN - 3 Relais compact</t>
  </si>
  <si>
    <t>NDOLO - 1 Relais selecteur de phases 100A</t>
  </si>
  <si>
    <t>NDOLO - Eclairage toilette DG</t>
  </si>
  <si>
    <t>FRANCK - Carburant PICKUP L200</t>
  </si>
  <si>
    <t>MAJESTIC - 2 Spots lumière ASC</t>
  </si>
  <si>
    <t>COMIMMO - Accessoires fabrication porte inverseur bon 3557</t>
  </si>
  <si>
    <t>COMIMMO - Accessoires fabrication porte inverseur bon 3558</t>
  </si>
  <si>
    <t>ATRIUM - 2 Disques diamant 230</t>
  </si>
  <si>
    <t>LYS HEAVEN - 2 Fil bleu + poudre</t>
  </si>
  <si>
    <t>ATRIUM - M.O. Journaliers mise en place CTA</t>
  </si>
  <si>
    <t>TCK - 1 Disjoncteur 9-14A &amp; 1 CAPA 35µf</t>
  </si>
  <si>
    <t>WILLY - Frais journaliers NDOLO</t>
  </si>
  <si>
    <t>ALBERT - Reparation pneu NISSAN PATROL</t>
  </si>
  <si>
    <t>ZINGANA 14 - 1 Split GREE 12000btu</t>
  </si>
  <si>
    <t>PROSPERE - Reparation pneu NISSAN/DG</t>
  </si>
  <si>
    <t>UTEXAFRICA - 2 Cornieres 40</t>
  </si>
  <si>
    <t>EBATA - 1 Interrupteur porte coulissante</t>
  </si>
  <si>
    <t>IMMEUBLE MARIE YVETTE - Facture 2026.04/SN/88</t>
  </si>
  <si>
    <t>ELECTROCOOL - Paie 05/2026</t>
  </si>
  <si>
    <t>EGSC - Paie 05/2026</t>
  </si>
  <si>
    <t>CDT - Cotisation syndicale 05/2026</t>
  </si>
  <si>
    <t>SALAMA RDC - Achat LOGICIEL/SALAMA COMPTA</t>
  </si>
  <si>
    <t>MAIEL MOATAZ - Prestations 05/2025</t>
  </si>
  <si>
    <t>SUCRIERE - Prestations agents 05/2025</t>
  </si>
  <si>
    <t>RESIDENCE IVAN - Paie agents 05/2026</t>
  </si>
  <si>
    <t>RESIDENCE DG - Paie agents 05/2026</t>
  </si>
  <si>
    <t>MAKIESE PIERRE - Divers 05/2026</t>
  </si>
  <si>
    <t>PROSPERE LIHOZA - Divers 05/2026</t>
  </si>
  <si>
    <t>NDOLO - Facture REGIDESO 05/2026</t>
  </si>
  <si>
    <t>TMB - 4 Journaliers samedi 25/04/2026</t>
  </si>
  <si>
    <t>Me MIESSI cfr NANCY</t>
  </si>
  <si>
    <t>FRANCK - Evacuation poubelle NDOLO &amp; PRIMMO</t>
  </si>
  <si>
    <t>SHEHENAJ L.M. - Facture 2026.05/SN/93-94</t>
  </si>
  <si>
    <t>DIDIER - Reparation phares JAC/ANCIEN &amp; Frais</t>
  </si>
  <si>
    <t>DIDIER - Transport NDOLO-KIMPWANZA-NDOLO</t>
  </si>
  <si>
    <t>COMIMMO - 4 chevilles en fer 10</t>
  </si>
  <si>
    <t>AFRICANA PALACE - Facture 2026.04/DA/152</t>
  </si>
  <si>
    <t>WILLY - (Frais funeraires)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</si>
</sst>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* #,##0.00_ ;_ * \-#,##0.00_ ;_ * &quot;-&quot;??_ ;_ @_ "/>
    <numFmt numFmtId="165" formatCode="_-* #,##0.00\ _F_-;\-* #,##0.00\ _F_-;_-* &quot;-&quot;??\ _F_-;_-@_-"/>
    <numFmt numFmtId="166" formatCode="d/m/yy"/>
    <numFmt numFmtId="167" formatCode="_-* #,##0\ _F_-;\-* #,##0\ _F_-;_-* &quot;-&quot;??\ _F_-;_-@_-"/>
    <numFmt numFmtId="168" formatCode="_-* #,##0.00\ _€_-;\-* #,##0.00\ _€_-;_-* &quot;-&quot;??\ _€_-;_-@_-"/>
    <numFmt numFmtId="169" formatCode="#,##0_ ;\-#,##0\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Arial"/>
      <family val="2"/>
    </font>
    <font>
      <b/>
      <i/>
      <sz val="9"/>
      <name val="Times New Roman"/>
      <family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i/>
      <sz val="9"/>
      <color rgb="FFFF0000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9"/>
      <name val="Arial"/>
      <family val="2"/>
    </font>
    <font>
      <sz val="10"/>
      <name val="Calibri"/>
      <family val="2"/>
      <scheme val="minor"/>
    </font>
    <font>
      <i/>
      <sz val="10"/>
      <name val="Arial"/>
      <family val="2"/>
    </font>
    <font>
      <sz val="10"/>
      <color rgb="FFFF0000"/>
      <name val="Calibri"/>
      <family val="2"/>
      <scheme val="minor"/>
    </font>
    <font>
      <b/>
      <i/>
      <sz val="10"/>
      <name val="Arial"/>
      <family val="2"/>
    </font>
    <font>
      <sz val="10"/>
      <name val="Times New Roman"/>
      <family val="1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i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i/>
      <sz val="9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97">
    <xf numFmtId="0" fontId="0" fillId="0" borderId="0" xfId="0"/>
    <xf numFmtId="0" fontId="5" fillId="0" borderId="6" xfId="0" applyFont="1" applyBorder="1" applyAlignment="1">
      <alignment horizontal="center"/>
    </xf>
    <xf numFmtId="0" fontId="0" fillId="0" borderId="0" xfId="0"/>
    <xf numFmtId="167" fontId="4" fillId="2" borderId="26" xfId="2" applyNumberFormat="1" applyFont="1" applyFill="1" applyBorder="1" applyAlignment="1" applyProtection="1">
      <alignment horizontal="right"/>
      <protection locked="0"/>
    </xf>
    <xf numFmtId="0" fontId="7" fillId="0" borderId="0" xfId="0" applyFont="1"/>
    <xf numFmtId="0" fontId="11" fillId="0" borderId="0" xfId="0" applyFont="1"/>
    <xf numFmtId="0" fontId="0" fillId="0" borderId="4" xfId="0" applyBorder="1"/>
    <xf numFmtId="0" fontId="13" fillId="0" borderId="5" xfId="0" applyFont="1" applyBorder="1" applyAlignment="1">
      <alignment horizontal="center"/>
    </xf>
    <xf numFmtId="0" fontId="0" fillId="0" borderId="6" xfId="0" applyBorder="1"/>
    <xf numFmtId="0" fontId="13" fillId="0" borderId="5" xfId="0" applyFont="1" applyBorder="1" applyAlignment="1">
      <alignment horizontal="right"/>
    </xf>
    <xf numFmtId="0" fontId="0" fillId="0" borderId="5" xfId="0" applyBorder="1"/>
    <xf numFmtId="14" fontId="9" fillId="0" borderId="15" xfId="0" applyNumberFormat="1" applyFont="1" applyBorder="1"/>
    <xf numFmtId="0" fontId="5" fillId="2" borderId="3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10" fillId="0" borderId="28" xfId="0" applyFont="1" applyBorder="1"/>
    <xf numFmtId="0" fontId="15" fillId="2" borderId="27" xfId="0" applyFont="1" applyFill="1" applyBorder="1"/>
    <xf numFmtId="0" fontId="17" fillId="2" borderId="27" xfId="0" applyFont="1" applyFill="1" applyBorder="1"/>
    <xf numFmtId="0" fontId="20" fillId="2" borderId="27" xfId="0" applyFont="1" applyFill="1" applyBorder="1"/>
    <xf numFmtId="0" fontId="20" fillId="2" borderId="42" xfId="0" applyFont="1" applyFill="1" applyBorder="1"/>
    <xf numFmtId="0" fontId="8" fillId="2" borderId="43" xfId="0" applyFont="1" applyFill="1" applyBorder="1"/>
    <xf numFmtId="0" fontId="23" fillId="2" borderId="33" xfId="0" applyFont="1" applyFill="1" applyBorder="1"/>
    <xf numFmtId="0" fontId="0" fillId="0" borderId="26" xfId="0" applyBorder="1"/>
    <xf numFmtId="0" fontId="0" fillId="0" borderId="23" xfId="0" applyBorder="1"/>
    <xf numFmtId="14" fontId="0" fillId="0" borderId="14" xfId="0" applyNumberFormat="1" applyBorder="1"/>
    <xf numFmtId="0" fontId="0" fillId="0" borderId="14" xfId="0" applyBorder="1"/>
    <xf numFmtId="0" fontId="0" fillId="0" borderId="22" xfId="0" applyBorder="1"/>
    <xf numFmtId="0" fontId="13" fillId="0" borderId="44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3" fontId="26" fillId="2" borderId="7" xfId="2" applyNumberFormat="1" applyFont="1" applyFill="1" applyBorder="1" applyProtection="1">
      <protection locked="0"/>
    </xf>
    <xf numFmtId="14" fontId="2" fillId="0" borderId="14" xfId="0" applyNumberFormat="1" applyFont="1" applyBorder="1"/>
    <xf numFmtId="167" fontId="25" fillId="2" borderId="1" xfId="2" applyNumberFormat="1" applyFont="1" applyFill="1" applyBorder="1" applyProtection="1">
      <protection locked="0"/>
    </xf>
    <xf numFmtId="165" fontId="4" fillId="2" borderId="3" xfId="2" applyNumberFormat="1" applyFont="1" applyFill="1" applyBorder="1" applyAlignment="1" applyProtection="1">
      <alignment horizontal="center"/>
      <protection locked="0"/>
    </xf>
    <xf numFmtId="0" fontId="15" fillId="2" borderId="14" xfId="0" applyFont="1" applyFill="1" applyBorder="1"/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10" xfId="2" applyNumberFormat="1" applyFont="1" applyFill="1" applyBorder="1" applyAlignment="1" applyProtection="1">
      <alignment horizontal="center"/>
      <protection locked="0"/>
    </xf>
    <xf numFmtId="167" fontId="16" fillId="2" borderId="9" xfId="2" applyNumberFormat="1" applyFont="1" applyFill="1" applyBorder="1" applyProtection="1">
      <protection locked="0"/>
    </xf>
    <xf numFmtId="0" fontId="20" fillId="8" borderId="14" xfId="0" applyFont="1" applyFill="1" applyBorder="1"/>
    <xf numFmtId="0" fontId="0" fillId="0" borderId="0" xfId="0"/>
    <xf numFmtId="0" fontId="7" fillId="0" borderId="0" xfId="0" applyFont="1"/>
    <xf numFmtId="0" fontId="11" fillId="0" borderId="0" xfId="0" applyFont="1"/>
    <xf numFmtId="0" fontId="0" fillId="0" borderId="4" xfId="0" applyBorder="1"/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0" fillId="0" borderId="5" xfId="0" applyBorder="1"/>
    <xf numFmtId="167" fontId="4" fillId="2" borderId="10" xfId="2" applyNumberFormat="1" applyFont="1" applyFill="1" applyBorder="1" applyAlignment="1" applyProtection="1">
      <alignment horizontal="center"/>
      <protection locked="0"/>
    </xf>
    <xf numFmtId="167" fontId="4" fillId="2" borderId="8" xfId="2" applyNumberFormat="1" applyFont="1" applyFill="1" applyBorder="1" applyAlignment="1" applyProtection="1">
      <alignment horizontal="right"/>
      <protection locked="0"/>
    </xf>
    <xf numFmtId="167" fontId="14" fillId="2" borderId="10" xfId="2" applyNumberFormat="1" applyFont="1" applyFill="1" applyBorder="1" applyProtection="1">
      <protection locked="0"/>
    </xf>
    <xf numFmtId="165" fontId="14" fillId="3" borderId="12" xfId="2" applyNumberFormat="1" applyFont="1" applyFill="1" applyBorder="1" applyProtection="1">
      <protection locked="0"/>
    </xf>
    <xf numFmtId="165" fontId="14" fillId="3" borderId="13" xfId="2" applyNumberFormat="1" applyFont="1" applyFill="1" applyBorder="1" applyProtection="1">
      <protection locked="0"/>
    </xf>
    <xf numFmtId="165" fontId="14" fillId="4" borderId="13" xfId="2" applyNumberFormat="1" applyFont="1" applyFill="1" applyBorder="1" applyAlignment="1" applyProtection="1">
      <alignment horizontal="center"/>
      <protection locked="0"/>
    </xf>
    <xf numFmtId="165" fontId="4" fillId="2" borderId="16" xfId="2" applyNumberFormat="1" applyFont="1" applyFill="1" applyBorder="1" applyAlignment="1" applyProtection="1">
      <alignment horizontal="center"/>
      <protection locked="0"/>
    </xf>
    <xf numFmtId="165" fontId="4" fillId="2" borderId="17" xfId="2" applyNumberFormat="1" applyFont="1" applyFill="1" applyBorder="1" applyAlignment="1" applyProtection="1">
      <alignment horizontal="center"/>
      <protection locked="0"/>
    </xf>
    <xf numFmtId="165" fontId="4" fillId="2" borderId="19" xfId="2" applyNumberFormat="1" applyFont="1" applyFill="1" applyBorder="1" applyAlignment="1" applyProtection="1">
      <alignment horizontal="center"/>
      <protection locked="0"/>
    </xf>
    <xf numFmtId="167" fontId="4" fillId="2" borderId="19" xfId="2" applyNumberFormat="1" applyFont="1" applyFill="1" applyBorder="1" applyAlignment="1" applyProtection="1">
      <alignment horizontal="center"/>
      <protection locked="0"/>
    </xf>
    <xf numFmtId="165" fontId="8" fillId="5" borderId="20" xfId="0" applyNumberFormat="1" applyFont="1" applyFill="1" applyBorder="1"/>
    <xf numFmtId="167" fontId="16" fillId="2" borderId="3" xfId="2" applyNumberFormat="1" applyFont="1" applyFill="1" applyBorder="1" applyProtection="1">
      <protection locked="0"/>
    </xf>
    <xf numFmtId="3" fontId="14" fillId="2" borderId="7" xfId="2" applyNumberFormat="1" applyFont="1" applyFill="1" applyBorder="1" applyProtection="1">
      <protection locked="0"/>
    </xf>
    <xf numFmtId="167" fontId="16" fillId="2" borderId="17" xfId="2" applyNumberFormat="1" applyFont="1" applyFill="1" applyBorder="1" applyProtection="1">
      <protection locked="0"/>
    </xf>
    <xf numFmtId="167" fontId="4" fillId="2" borderId="14" xfId="2" applyNumberFormat="1" applyFont="1" applyFill="1" applyBorder="1" applyAlignment="1" applyProtection="1">
      <alignment horizontal="right"/>
      <protection locked="0"/>
    </xf>
    <xf numFmtId="167" fontId="4" fillId="2" borderId="24" xfId="2" applyNumberFormat="1" applyFont="1" applyFill="1" applyBorder="1" applyAlignment="1" applyProtection="1">
      <alignment horizontal="right"/>
      <protection locked="0"/>
    </xf>
    <xf numFmtId="167" fontId="24" fillId="2" borderId="2" xfId="2" applyNumberFormat="1" applyFont="1" applyFill="1" applyBorder="1" applyAlignment="1" applyProtection="1">
      <alignment horizontal="center"/>
      <protection locked="0"/>
    </xf>
    <xf numFmtId="167" fontId="4" fillId="2" borderId="25" xfId="2" applyNumberFormat="1" applyFont="1" applyFill="1" applyBorder="1" applyAlignment="1" applyProtection="1">
      <alignment horizontal="center"/>
      <protection locked="0"/>
    </xf>
    <xf numFmtId="167" fontId="22" fillId="2" borderId="10" xfId="2" applyNumberFormat="1" applyFont="1" applyFill="1" applyBorder="1" applyAlignment="1" applyProtection="1">
      <alignment horizontal="center"/>
      <protection locked="0"/>
    </xf>
    <xf numFmtId="3" fontId="4" fillId="2" borderId="20" xfId="2" applyNumberFormat="1" applyFont="1" applyFill="1" applyBorder="1" applyProtection="1">
      <protection locked="0"/>
    </xf>
    <xf numFmtId="167" fontId="24" fillId="2" borderId="1" xfId="2" applyNumberFormat="1" applyFont="1" applyFill="1" applyBorder="1" applyAlignment="1" applyProtection="1">
      <alignment horizontal="center"/>
      <protection locked="0"/>
    </xf>
    <xf numFmtId="167" fontId="14" fillId="2" borderId="9" xfId="2" applyNumberFormat="1" applyFont="1" applyFill="1" applyBorder="1" applyProtection="1">
      <protection locked="0"/>
    </xf>
    <xf numFmtId="167" fontId="14" fillId="2" borderId="7" xfId="2" applyNumberFormat="1" applyFont="1" applyFill="1" applyBorder="1" applyProtection="1">
      <protection locked="0"/>
    </xf>
    <xf numFmtId="165" fontId="8" fillId="3" borderId="11" xfId="0" applyNumberFormat="1" applyFont="1" applyFill="1" applyBorder="1"/>
    <xf numFmtId="167" fontId="4" fillId="2" borderId="27" xfId="2" applyNumberFormat="1" applyFont="1" applyFill="1" applyBorder="1" applyProtection="1">
      <protection locked="0"/>
    </xf>
    <xf numFmtId="167" fontId="4" fillId="2" borderId="8" xfId="2" applyNumberFormat="1" applyFont="1" applyFill="1" applyBorder="1" applyProtection="1">
      <protection locked="0"/>
    </xf>
    <xf numFmtId="167" fontId="4" fillId="2" borderId="29" xfId="2" applyNumberFormat="1" applyFont="1" applyFill="1" applyBorder="1" applyProtection="1">
      <protection locked="0"/>
    </xf>
    <xf numFmtId="165" fontId="8" fillId="5" borderId="30" xfId="0" applyNumberFormat="1" applyFont="1" applyFill="1" applyBorder="1"/>
    <xf numFmtId="167" fontId="18" fillId="2" borderId="28" xfId="2" applyNumberFormat="1" applyFont="1" applyFill="1" applyBorder="1" applyProtection="1">
      <protection locked="0"/>
    </xf>
    <xf numFmtId="165" fontId="14" fillId="2" borderId="18" xfId="2" applyNumberFormat="1" applyFont="1" applyFill="1" applyBorder="1" applyProtection="1">
      <protection locked="0"/>
    </xf>
    <xf numFmtId="167" fontId="18" fillId="2" borderId="1" xfId="2" applyNumberFormat="1" applyFont="1" applyFill="1" applyBorder="1" applyProtection="1">
      <protection locked="0"/>
    </xf>
    <xf numFmtId="165" fontId="4" fillId="2" borderId="21" xfId="2" applyNumberFormat="1" applyFont="1" applyFill="1" applyBorder="1" applyProtection="1">
      <protection locked="0"/>
    </xf>
    <xf numFmtId="167" fontId="16" fillId="2" borderId="26" xfId="2" applyNumberFormat="1" applyFont="1" applyFill="1" applyBorder="1" applyAlignment="1" applyProtection="1">
      <alignment horizontal="center"/>
      <protection locked="0"/>
    </xf>
    <xf numFmtId="165" fontId="4" fillId="2" borderId="26" xfId="2" applyNumberFormat="1" applyFont="1" applyFill="1" applyBorder="1" applyProtection="1">
      <protection locked="0"/>
    </xf>
    <xf numFmtId="167" fontId="4" fillId="2" borderId="33" xfId="2" applyNumberFormat="1" applyFont="1" applyFill="1" applyBorder="1" applyAlignment="1" applyProtection="1">
      <alignment horizontal="center"/>
      <protection locked="0"/>
    </xf>
    <xf numFmtId="165" fontId="4" fillId="2" borderId="26" xfId="2" applyNumberFormat="1" applyFont="1" applyFill="1" applyBorder="1" applyAlignment="1" applyProtection="1">
      <alignment horizontal="center"/>
      <protection locked="0"/>
    </xf>
    <xf numFmtId="3" fontId="19" fillId="2" borderId="21" xfId="0" applyNumberFormat="1" applyFont="1" applyFill="1" applyBorder="1"/>
    <xf numFmtId="165" fontId="4" fillId="2" borderId="28" xfId="2" applyNumberFormat="1" applyFont="1" applyFill="1" applyBorder="1" applyProtection="1">
      <protection locked="0"/>
    </xf>
    <xf numFmtId="0" fontId="5" fillId="2" borderId="3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165" fontId="8" fillId="2" borderId="26" xfId="0" applyNumberFormat="1" applyFont="1" applyFill="1" applyBorder="1"/>
    <xf numFmtId="165" fontId="14" fillId="2" borderId="26" xfId="2" applyNumberFormat="1" applyFont="1" applyFill="1" applyBorder="1" applyProtection="1">
      <protection locked="0"/>
    </xf>
    <xf numFmtId="167" fontId="4" fillId="2" borderId="22" xfId="2" applyNumberFormat="1" applyFont="1" applyFill="1" applyBorder="1" applyAlignment="1" applyProtection="1">
      <alignment horizontal="right"/>
      <protection locked="0"/>
    </xf>
    <xf numFmtId="0" fontId="0" fillId="0" borderId="46" xfId="0" applyBorder="1"/>
    <xf numFmtId="0" fontId="0" fillId="0" borderId="31" xfId="0" applyBorder="1"/>
    <xf numFmtId="0" fontId="0" fillId="0" borderId="47" xfId="0" applyBorder="1"/>
    <xf numFmtId="17" fontId="11" fillId="0" borderId="0" xfId="0" applyNumberFormat="1" applyFont="1"/>
    <xf numFmtId="165" fontId="14" fillId="4" borderId="11" xfId="2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/>
    <xf numFmtId="167" fontId="14" fillId="2" borderId="8" xfId="2" applyNumberFormat="1" applyFont="1" applyFill="1" applyBorder="1" applyAlignment="1" applyProtection="1">
      <alignment horizontal="right"/>
      <protection locked="0"/>
    </xf>
    <xf numFmtId="167" fontId="14" fillId="2" borderId="32" xfId="2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167" fontId="14" fillId="2" borderId="24" xfId="2" applyNumberFormat="1" applyFont="1" applyFill="1" applyBorder="1" applyAlignment="1" applyProtection="1">
      <alignment horizontal="right"/>
      <protection locked="0"/>
    </xf>
    <xf numFmtId="167" fontId="14" fillId="7" borderId="45" xfId="2" applyNumberFormat="1" applyFont="1" applyFill="1" applyBorder="1" applyAlignment="1" applyProtection="1">
      <alignment horizontal="right"/>
      <protection locked="0"/>
    </xf>
    <xf numFmtId="167" fontId="16" fillId="2" borderId="10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167" fontId="16" fillId="2" borderId="1" xfId="2" applyNumberFormat="1" applyFont="1" applyFill="1" applyBorder="1" applyProtection="1">
      <protection locked="0"/>
    </xf>
    <xf numFmtId="0" fontId="17" fillId="2" borderId="14" xfId="0" applyFont="1" applyFill="1" applyBorder="1"/>
    <xf numFmtId="167" fontId="25" fillId="2" borderId="10" xfId="2" applyNumberFormat="1" applyFont="1" applyFill="1" applyBorder="1" applyAlignment="1" applyProtection="1">
      <alignment horizontal="center"/>
      <protection locked="0"/>
    </xf>
    <xf numFmtId="167" fontId="16" fillId="2" borderId="2" xfId="2" applyNumberFormat="1" applyFont="1" applyFill="1" applyBorder="1" applyAlignment="1" applyProtection="1">
      <alignment horizontal="center"/>
      <protection locked="0"/>
    </xf>
    <xf numFmtId="167" fontId="18" fillId="2" borderId="10" xfId="2" applyNumberFormat="1" applyFont="1" applyFill="1" applyBorder="1" applyProtection="1"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28" xfId="2" applyNumberFormat="1" applyFont="1" applyFill="1" applyBorder="1" applyProtection="1">
      <protection locked="0"/>
    </xf>
    <xf numFmtId="167" fontId="4" fillId="2" borderId="9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167" fontId="16" fillId="2" borderId="1" xfId="2" applyNumberFormat="1" applyFont="1" applyFill="1" applyBorder="1" applyProtection="1">
      <protection locked="0"/>
    </xf>
    <xf numFmtId="0" fontId="17" fillId="2" borderId="14" xfId="0" applyFont="1" applyFill="1" applyBorder="1"/>
    <xf numFmtId="167" fontId="24" fillId="2" borderId="10" xfId="2" applyNumberFormat="1" applyFont="1" applyFill="1" applyBorder="1" applyAlignment="1" applyProtection="1">
      <alignment horizontal="center"/>
      <protection locked="0"/>
    </xf>
    <xf numFmtId="167" fontId="18" fillId="2" borderId="10" xfId="2" applyNumberFormat="1" applyFont="1" applyFill="1" applyBorder="1" applyProtection="1"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28" xfId="2" applyNumberFormat="1" applyFont="1" applyFill="1" applyBorder="1" applyProtection="1">
      <protection locked="0"/>
    </xf>
    <xf numFmtId="3" fontId="26" fillId="2" borderId="7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3" fontId="4" fillId="2" borderId="7" xfId="2" applyNumberFormat="1" applyFont="1" applyFill="1" applyBorder="1" applyAlignment="1" applyProtection="1">
      <alignment horizontal="center"/>
      <protection locked="0"/>
    </xf>
    <xf numFmtId="0" fontId="21" fillId="2" borderId="14" xfId="0" applyFont="1" applyFill="1" applyBorder="1"/>
    <xf numFmtId="167" fontId="16" fillId="2" borderId="10" xfId="2" applyNumberFormat="1" applyFont="1" applyFill="1" applyBorder="1" applyAlignment="1" applyProtection="1">
      <alignment horizontal="center"/>
      <protection locked="0"/>
    </xf>
    <xf numFmtId="167" fontId="25" fillId="2" borderId="10" xfId="2" applyNumberFormat="1" applyFont="1" applyFill="1" applyBorder="1" applyAlignment="1" applyProtection="1">
      <alignment horizontal="center"/>
      <protection locked="0"/>
    </xf>
    <xf numFmtId="167" fontId="18" fillId="2" borderId="10" xfId="2" applyNumberFormat="1" applyFont="1" applyFill="1" applyBorder="1" applyProtection="1"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28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167" fontId="25" fillId="2" borderId="10" xfId="2" applyNumberFormat="1" applyFont="1" applyFill="1" applyBorder="1" applyAlignment="1" applyProtection="1">
      <alignment horizontal="center"/>
      <protection locked="0"/>
    </xf>
    <xf numFmtId="167" fontId="18" fillId="2" borderId="10" xfId="2" applyNumberFormat="1" applyFont="1" applyFill="1" applyBorder="1" applyProtection="1"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28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5" fontId="14" fillId="2" borderId="2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3" fontId="14" fillId="2" borderId="7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3" fontId="14" fillId="2" borderId="7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167" fontId="16" fillId="2" borderId="1" xfId="2" applyNumberFormat="1" applyFont="1" applyFill="1" applyBorder="1" applyProtection="1">
      <protection locked="0"/>
    </xf>
    <xf numFmtId="3" fontId="4" fillId="2" borderId="7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3" fontId="4" fillId="2" borderId="7" xfId="2" applyNumberFormat="1" applyFont="1" applyFill="1" applyBorder="1" applyAlignment="1" applyProtection="1">
      <alignment horizontal="center"/>
      <protection locked="0"/>
    </xf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167" fontId="4" fillId="2" borderId="1" xfId="2" applyNumberFormat="1" applyFont="1" applyFill="1" applyBorder="1" applyAlignment="1" applyProtection="1">
      <alignment horizontal="center"/>
      <protection locked="0"/>
    </xf>
    <xf numFmtId="167" fontId="16" fillId="2" borderId="1" xfId="2" applyNumberFormat="1" applyFont="1" applyFill="1" applyBorder="1" applyProtection="1">
      <protection locked="0"/>
    </xf>
    <xf numFmtId="0" fontId="20" fillId="2" borderId="14" xfId="0" applyFont="1" applyFill="1" applyBorder="1"/>
    <xf numFmtId="3" fontId="4" fillId="2" borderId="7" xfId="2" applyNumberFormat="1" applyFont="1" applyFill="1" applyBorder="1" applyAlignment="1" applyProtection="1">
      <alignment horizontal="center"/>
      <protection locked="0"/>
    </xf>
    <xf numFmtId="167" fontId="24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167" fontId="16" fillId="2" borderId="1" xfId="2" applyNumberFormat="1" applyFont="1" applyFill="1" applyBorder="1" applyProtection="1">
      <protection locked="0"/>
    </xf>
    <xf numFmtId="0" fontId="20" fillId="2" borderId="14" xfId="0" applyFont="1" applyFill="1" applyBorder="1"/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3" fontId="14" fillId="2" borderId="7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5" fontId="14" fillId="2" borderId="2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3" fontId="14" fillId="2" borderId="7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Alignment="1" applyProtection="1">
      <alignment horizontal="center"/>
      <protection locked="0"/>
    </xf>
    <xf numFmtId="167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3" fontId="4" fillId="2" borderId="7" xfId="2" applyNumberFormat="1" applyFont="1" applyFill="1" applyBorder="1" applyAlignment="1" applyProtection="1">
      <alignment horizontal="center"/>
      <protection locked="0"/>
    </xf>
    <xf numFmtId="167" fontId="16" fillId="2" borderId="10" xfId="2" applyNumberFormat="1" applyFont="1" applyFill="1" applyBorder="1" applyAlignment="1" applyProtection="1">
      <alignment horizontal="center"/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0" fontId="15" fillId="8" borderId="14" xfId="0" applyFont="1" applyFill="1" applyBorder="1"/>
    <xf numFmtId="167" fontId="4" fillId="2" borderId="3" xfId="2" applyNumberFormat="1" applyFont="1" applyFill="1" applyBorder="1" applyAlignment="1" applyProtection="1">
      <alignment horizontal="center"/>
      <protection locked="0"/>
    </xf>
    <xf numFmtId="0" fontId="17" fillId="2" borderId="14" xfId="0" applyFont="1" applyFill="1" applyBorder="1"/>
    <xf numFmtId="165" fontId="4" fillId="2" borderId="10" xfId="2" applyNumberFormat="1" applyFont="1" applyFill="1" applyBorder="1" applyAlignment="1" applyProtection="1">
      <alignment horizontal="center"/>
      <protection locked="0"/>
    </xf>
    <xf numFmtId="167" fontId="24" fillId="2" borderId="1" xfId="2" applyNumberFormat="1" applyFont="1" applyFill="1" applyBorder="1" applyProtection="1">
      <protection locked="0"/>
    </xf>
    <xf numFmtId="0" fontId="0" fillId="0" borderId="0" xfId="0"/>
    <xf numFmtId="165" fontId="4" fillId="2" borderId="1" xfId="2" applyNumberFormat="1" applyFont="1" applyFill="1" applyBorder="1" applyAlignment="1" applyProtection="1">
      <alignment horizontal="center"/>
      <protection locked="0"/>
    </xf>
    <xf numFmtId="165" fontId="4" fillId="2" borderId="3" xfId="2" applyNumberFormat="1" applyFont="1" applyFill="1" applyBorder="1" applyAlignment="1" applyProtection="1">
      <alignment horizontal="center"/>
      <protection locked="0"/>
    </xf>
    <xf numFmtId="167" fontId="4" fillId="2" borderId="1" xfId="2" applyNumberFormat="1" applyFont="1" applyFill="1" applyBorder="1" applyAlignment="1" applyProtection="1">
      <alignment horizontal="center"/>
      <protection locked="0"/>
    </xf>
    <xf numFmtId="3" fontId="4" fillId="2" borderId="7" xfId="2" applyNumberFormat="1" applyFont="1" applyFill="1" applyBorder="1" applyProtection="1">
      <protection locked="0"/>
    </xf>
    <xf numFmtId="0" fontId="15" fillId="2" borderId="14" xfId="0" applyFont="1" applyFill="1" applyBorder="1"/>
    <xf numFmtId="167" fontId="16" fillId="2" borderId="1" xfId="2" applyNumberFormat="1" applyFont="1" applyFill="1" applyBorder="1" applyProtection="1">
      <protection locked="0"/>
    </xf>
    <xf numFmtId="0" fontId="20" fillId="2" borderId="14" xfId="0" applyFont="1" applyFill="1" applyBorder="1"/>
    <xf numFmtId="3" fontId="4" fillId="2" borderId="7" xfId="2" applyNumberFormat="1" applyFont="1" applyFill="1" applyBorder="1" applyAlignment="1" applyProtection="1">
      <alignment horizontal="center"/>
      <protection locked="0"/>
    </xf>
    <xf numFmtId="0" fontId="21" fillId="2" borderId="14" xfId="0" applyFont="1" applyFill="1" applyBorder="1"/>
    <xf numFmtId="167" fontId="16" fillId="2" borderId="10" xfId="2" applyNumberFormat="1" applyFont="1" applyFill="1" applyBorder="1" applyAlignment="1" applyProtection="1">
      <alignment horizontal="center"/>
      <protection locked="0"/>
    </xf>
    <xf numFmtId="167" fontId="25" fillId="2" borderId="10" xfId="2" applyNumberFormat="1" applyFont="1" applyFill="1" applyBorder="1" applyAlignment="1" applyProtection="1">
      <alignment horizontal="center"/>
      <protection locked="0"/>
    </xf>
    <xf numFmtId="167" fontId="24" fillId="2" borderId="10" xfId="2" applyNumberFormat="1" applyFont="1" applyFill="1" applyBorder="1" applyAlignment="1" applyProtection="1">
      <alignment horizontal="center"/>
      <protection locked="0"/>
    </xf>
    <xf numFmtId="14" fontId="9" fillId="0" borderId="15" xfId="0" applyNumberFormat="1" applyFont="1" applyBorder="1"/>
    <xf numFmtId="167" fontId="18" fillId="2" borderId="10" xfId="2" applyNumberFormat="1" applyFont="1" applyFill="1" applyBorder="1" applyProtection="1">
      <protection locked="0"/>
    </xf>
    <xf numFmtId="165" fontId="4" fillId="2" borderId="2" xfId="2" applyNumberFormat="1" applyFont="1" applyFill="1" applyBorder="1" applyAlignment="1" applyProtection="1">
      <alignment horizontal="center"/>
      <protection locked="0"/>
    </xf>
    <xf numFmtId="167" fontId="14" fillId="2" borderId="2" xfId="2" applyNumberFormat="1" applyFont="1" applyFill="1" applyBorder="1" applyAlignment="1" applyProtection="1">
      <alignment horizontal="center"/>
      <protection locked="0"/>
    </xf>
    <xf numFmtId="165" fontId="14" fillId="2" borderId="2" xfId="2" applyNumberFormat="1" applyFont="1" applyFill="1" applyBorder="1" applyAlignment="1" applyProtection="1">
      <alignment horizontal="center"/>
      <protection locked="0"/>
    </xf>
    <xf numFmtId="165" fontId="14" fillId="2" borderId="10" xfId="2" applyNumberFormat="1" applyFont="1" applyFill="1" applyBorder="1" applyAlignment="1" applyProtection="1">
      <alignment horizontal="center"/>
      <protection locked="0"/>
    </xf>
    <xf numFmtId="167" fontId="18" fillId="2" borderId="9" xfId="2" applyNumberFormat="1" applyFont="1" applyFill="1" applyBorder="1" applyProtection="1">
      <protection locked="0"/>
    </xf>
    <xf numFmtId="167" fontId="16" fillId="2" borderId="9" xfId="2" applyNumberFormat="1" applyFont="1" applyFill="1" applyBorder="1" applyProtection="1">
      <protection locked="0"/>
    </xf>
    <xf numFmtId="167" fontId="16" fillId="2" borderId="28" xfId="2" applyNumberFormat="1" applyFont="1" applyFill="1" applyBorder="1" applyProtection="1">
      <protection locked="0"/>
    </xf>
    <xf numFmtId="3" fontId="16" fillId="2" borderId="7" xfId="2" applyNumberFormat="1" applyFont="1" applyFill="1" applyBorder="1" applyProtection="1">
      <protection locked="0"/>
    </xf>
    <xf numFmtId="3" fontId="14" fillId="2" borderId="7" xfId="2" applyNumberFormat="1" applyFont="1" applyFill="1" applyBorder="1" applyAlignment="1" applyProtection="1">
      <alignment horizontal="center"/>
      <protection locked="0"/>
    </xf>
    <xf numFmtId="0" fontId="5" fillId="2" borderId="39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167" fontId="14" fillId="2" borderId="26" xfId="2" applyNumberFormat="1" applyFont="1" applyFill="1" applyBorder="1" applyAlignment="1" applyProtection="1">
      <alignment horizontal="right"/>
      <protection locked="0"/>
    </xf>
    <xf numFmtId="0" fontId="3" fillId="0" borderId="5" xfId="0" applyFont="1" applyBorder="1"/>
    <xf numFmtId="167" fontId="14" fillId="2" borderId="34" xfId="2" applyNumberFormat="1" applyFont="1" applyFill="1" applyBorder="1" applyAlignment="1" applyProtection="1">
      <alignment horizontal="center"/>
      <protection locked="0"/>
    </xf>
    <xf numFmtId="167" fontId="14" fillId="2" borderId="19" xfId="2" applyNumberFormat="1" applyFont="1" applyFill="1" applyBorder="1" applyAlignment="1" applyProtection="1">
      <alignment horizontal="center"/>
      <protection locked="0"/>
    </xf>
    <xf numFmtId="167" fontId="14" fillId="4" borderId="45" xfId="2" applyNumberFormat="1" applyFont="1" applyFill="1" applyBorder="1" applyAlignment="1" applyProtection="1">
      <alignment horizontal="center"/>
      <protection locked="0"/>
    </xf>
    <xf numFmtId="167" fontId="14" fillId="2" borderId="31" xfId="2" applyNumberFormat="1" applyFont="1" applyFill="1" applyBorder="1" applyAlignment="1" applyProtection="1">
      <alignment horizontal="right"/>
      <protection locked="0"/>
    </xf>
    <xf numFmtId="167" fontId="14" fillId="2" borderId="14" xfId="2" applyNumberFormat="1" applyFont="1" applyFill="1" applyBorder="1" applyAlignment="1" applyProtection="1">
      <alignment horizontal="right"/>
      <protection locked="0"/>
    </xf>
    <xf numFmtId="167" fontId="14" fillId="6" borderId="23" xfId="2" applyNumberFormat="1" applyFont="1" applyFill="1" applyBorder="1" applyAlignment="1" applyProtection="1">
      <alignment horizontal="right"/>
      <protection locked="0"/>
    </xf>
    <xf numFmtId="0" fontId="20" fillId="2" borderId="22" xfId="0" applyFont="1" applyFill="1" applyBorder="1"/>
    <xf numFmtId="0" fontId="27" fillId="0" borderId="0" xfId="0" applyFont="1"/>
    <xf numFmtId="0" fontId="28" fillId="0" borderId="0" xfId="0" applyFont="1"/>
    <xf numFmtId="17" fontId="27" fillId="0" borderId="0" xfId="0" applyNumberFormat="1" applyFont="1"/>
    <xf numFmtId="3" fontId="18" fillId="2" borderId="7" xfId="2" applyNumberFormat="1" applyFont="1" applyFill="1" applyBorder="1" applyAlignment="1" applyProtection="1">
      <alignment horizontal="center"/>
      <protection locked="0"/>
    </xf>
    <xf numFmtId="167" fontId="18" fillId="2" borderId="10" xfId="2" applyNumberFormat="1" applyFont="1" applyFill="1" applyBorder="1" applyAlignment="1" applyProtection="1">
      <alignment horizontal="center"/>
      <protection locked="0"/>
    </xf>
    <xf numFmtId="3" fontId="16" fillId="2" borderId="7" xfId="2" applyNumberFormat="1" applyFont="1" applyFill="1" applyBorder="1" applyAlignment="1" applyProtection="1">
      <alignment horizontal="center"/>
      <protection locked="0"/>
    </xf>
    <xf numFmtId="167" fontId="25" fillId="2" borderId="9" xfId="2" applyNumberFormat="1" applyFont="1" applyFill="1" applyBorder="1" applyProtection="1">
      <protection locked="0"/>
    </xf>
    <xf numFmtId="167" fontId="25" fillId="2" borderId="10" xfId="2" applyNumberFormat="1" applyFont="1" applyFill="1" applyBorder="1" applyProtection="1">
      <protection locked="0"/>
    </xf>
    <xf numFmtId="167" fontId="24" fillId="2" borderId="28" xfId="2" applyNumberFormat="1" applyFont="1" applyFill="1" applyBorder="1" applyProtection="1">
      <protection locked="0"/>
    </xf>
    <xf numFmtId="3" fontId="22" fillId="2" borderId="7" xfId="2" applyNumberFormat="1" applyFont="1" applyFill="1" applyBorder="1" applyAlignment="1" applyProtection="1">
      <alignment horizontal="center"/>
      <protection locked="0"/>
    </xf>
    <xf numFmtId="3" fontId="24" fillId="2" borderId="7" xfId="2" applyNumberFormat="1" applyFont="1" applyFill="1" applyBorder="1" applyAlignment="1" applyProtection="1">
      <alignment horizontal="center"/>
      <protection locked="0"/>
    </xf>
    <xf numFmtId="3" fontId="18" fillId="2" borderId="7" xfId="2" applyNumberFormat="1" applyFont="1" applyFill="1" applyBorder="1" applyProtection="1">
      <protection locked="0"/>
    </xf>
    <xf numFmtId="0" fontId="29" fillId="0" borderId="14" xfId="0" applyFont="1" applyBorder="1"/>
    <xf numFmtId="165" fontId="4" fillId="2" borderId="7" xfId="2" applyNumberFormat="1" applyFont="1" applyFill="1" applyBorder="1" applyProtection="1">
      <protection locked="0"/>
    </xf>
    <xf numFmtId="167" fontId="16" fillId="2" borderId="1" xfId="2" applyNumberFormat="1" applyFont="1" applyFill="1" applyBorder="1" applyAlignment="1" applyProtection="1">
      <alignment horizontal="center"/>
      <protection locked="0"/>
    </xf>
    <xf numFmtId="165" fontId="4" fillId="2" borderId="1" xfId="2" applyNumberFormat="1" applyFont="1" applyFill="1" applyBorder="1" applyProtection="1">
      <protection locked="0"/>
    </xf>
    <xf numFmtId="167" fontId="4" fillId="2" borderId="2" xfId="2" applyNumberFormat="1" applyFont="1" applyFill="1" applyBorder="1" applyAlignment="1" applyProtection="1">
      <alignment horizontal="center"/>
      <protection locked="0"/>
    </xf>
    <xf numFmtId="3" fontId="19" fillId="2" borderId="7" xfId="0" applyNumberFormat="1" applyFont="1" applyFill="1" applyBorder="1"/>
    <xf numFmtId="165" fontId="4" fillId="2" borderId="27" xfId="2" applyNumberFormat="1" applyFont="1" applyFill="1" applyBorder="1" applyProtection="1">
      <protection locked="0"/>
    </xf>
    <xf numFmtId="167" fontId="26" fillId="2" borderId="1" xfId="2" applyNumberFormat="1" applyFont="1" applyFill="1" applyBorder="1" applyAlignment="1" applyProtection="1">
      <alignment horizontal="center"/>
      <protection locked="0"/>
    </xf>
    <xf numFmtId="167" fontId="4" fillId="2" borderId="45" xfId="2" applyNumberFormat="1" applyFont="1" applyFill="1" applyBorder="1" applyAlignment="1" applyProtection="1">
      <alignment horizontal="right"/>
      <protection locked="0"/>
    </xf>
    <xf numFmtId="167" fontId="4" fillId="2" borderId="45" xfId="2" applyNumberFormat="1" applyFont="1" applyFill="1" applyBorder="1" applyAlignment="1" applyProtection="1">
      <alignment horizontal="center"/>
      <protection locked="0"/>
    </xf>
    <xf numFmtId="3" fontId="4" fillId="2" borderId="9" xfId="2" applyNumberFormat="1" applyFont="1" applyFill="1" applyBorder="1" applyProtection="1">
      <protection locked="0"/>
    </xf>
    <xf numFmtId="167" fontId="16" fillId="2" borderId="48" xfId="2" applyNumberFormat="1" applyFont="1" applyFill="1" applyBorder="1" applyProtection="1">
      <protection locked="0"/>
    </xf>
    <xf numFmtId="165" fontId="8" fillId="5" borderId="11" xfId="0" applyNumberFormat="1" applyFont="1" applyFill="1" applyBorder="1"/>
    <xf numFmtId="165" fontId="8" fillId="5" borderId="45" xfId="0" applyNumberFormat="1" applyFont="1" applyFill="1" applyBorder="1"/>
    <xf numFmtId="167" fontId="4" fillId="2" borderId="23" xfId="2" applyNumberFormat="1" applyFont="1" applyFill="1" applyBorder="1" applyAlignment="1" applyProtection="1">
      <alignment horizontal="right"/>
      <protection locked="0"/>
    </xf>
    <xf numFmtId="0" fontId="15" fillId="2" borderId="49" xfId="0" applyFont="1" applyFill="1" applyBorder="1"/>
    <xf numFmtId="167" fontId="24" fillId="2" borderId="9" xfId="2" applyNumberFormat="1" applyFont="1" applyFill="1" applyBorder="1" applyAlignment="1" applyProtection="1">
      <alignment horizontal="center"/>
      <protection locked="0"/>
    </xf>
    <xf numFmtId="167" fontId="25" fillId="2" borderId="26" xfId="2" applyNumberFormat="1" applyFont="1" applyFill="1" applyBorder="1" applyAlignment="1" applyProtection="1">
      <alignment horizontal="center"/>
      <protection locked="0"/>
    </xf>
    <xf numFmtId="14" fontId="0" fillId="0" borderId="49" xfId="0" applyNumberFormat="1" applyBorder="1"/>
    <xf numFmtId="0" fontId="20" fillId="2" borderId="48" xfId="0" applyFont="1" applyFill="1" applyBorder="1"/>
    <xf numFmtId="0" fontId="15" fillId="2" borderId="8" xfId="0" applyFont="1" applyFill="1" applyBorder="1"/>
    <xf numFmtId="167" fontId="16" fillId="2" borderId="2" xfId="2" applyNumberFormat="1" applyFont="1" applyFill="1" applyBorder="1" applyProtection="1">
      <protection locked="0"/>
    </xf>
    <xf numFmtId="169" fontId="18" fillId="2" borderId="9" xfId="2" applyNumberFormat="1" applyFont="1" applyFill="1" applyBorder="1" applyAlignment="1" applyProtection="1">
      <alignment horizontal="right"/>
      <protection locked="0"/>
    </xf>
    <xf numFmtId="169" fontId="24" fillId="2" borderId="9" xfId="2" applyNumberFormat="1" applyFont="1" applyFill="1" applyBorder="1" applyAlignment="1" applyProtection="1">
      <alignment horizontal="right"/>
      <protection locked="0"/>
    </xf>
  </cellXfs>
  <cellStyles count="6">
    <cellStyle name="Milliers 2" xfId="2"/>
    <cellStyle name="Milliers 2 2" xfId="4"/>
    <cellStyle name="Milliers 3" xfId="1"/>
    <cellStyle name="Milliers 4" xfId="5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3" sqref="L3"/>
    </sheetView>
  </sheetViews>
  <sheetFormatPr baseColWidth="10" defaultRowHeight="14.4" x14ac:dyDescent="0.3"/>
  <cols>
    <col min="1" max="1" width="10.33203125" style="225" customWidth="1"/>
    <col min="2" max="2" width="50.5546875" style="225" bestFit="1" customWidth="1"/>
    <col min="3" max="5" width="11.5546875" style="225"/>
    <col min="6" max="6" width="11.5546875" style="109"/>
    <col min="7" max="7" width="11.5546875" style="225"/>
    <col min="8" max="8" width="12.21875" style="225" bestFit="1" customWidth="1"/>
    <col min="9" max="9" width="11.5546875" style="109"/>
    <col min="10" max="10" width="13.77734375" style="225" customWidth="1"/>
    <col min="11" max="11" width="13.33203125" style="225" customWidth="1"/>
    <col min="12" max="12" width="12.6640625" style="109" bestFit="1" customWidth="1"/>
    <col min="13" max="16384" width="11.5546875" style="225"/>
  </cols>
  <sheetData>
    <row r="1" spans="1:12" ht="18" x14ac:dyDescent="0.35">
      <c r="A1" s="262" t="s">
        <v>0</v>
      </c>
      <c r="B1" s="47"/>
    </row>
    <row r="2" spans="1:12" ht="18.600000000000001" thickBot="1" x14ac:dyDescent="0.4">
      <c r="A2" s="261" t="s">
        <v>47</v>
      </c>
      <c r="B2" s="48"/>
      <c r="L2" s="263">
        <v>46174</v>
      </c>
    </row>
    <row r="3" spans="1:12" ht="16.2" thickBot="1" x14ac:dyDescent="0.35">
      <c r="A3" s="101"/>
      <c r="B3" s="1" t="s">
        <v>1</v>
      </c>
      <c r="C3" s="49"/>
      <c r="D3" s="51" t="s">
        <v>2</v>
      </c>
      <c r="E3" s="52"/>
      <c r="F3" s="106"/>
      <c r="G3" s="52"/>
      <c r="H3" s="50" t="s">
        <v>3</v>
      </c>
      <c r="I3" s="253"/>
      <c r="J3" s="35" t="s">
        <v>4</v>
      </c>
      <c r="K3" s="36"/>
      <c r="L3" s="238"/>
    </row>
    <row r="4" spans="1:12" ht="15" thickBot="1" x14ac:dyDescent="0.35">
      <c r="A4" s="103"/>
      <c r="B4" s="22"/>
      <c r="C4" s="91" t="s">
        <v>5</v>
      </c>
      <c r="D4" s="92" t="s">
        <v>6</v>
      </c>
      <c r="E4" s="93" t="s">
        <v>7</v>
      </c>
      <c r="F4" s="249" t="s">
        <v>8</v>
      </c>
      <c r="G4" s="94" t="s">
        <v>9</v>
      </c>
      <c r="H4" s="95" t="s">
        <v>10</v>
      </c>
      <c r="I4" s="250" t="s">
        <v>11</v>
      </c>
      <c r="J4" s="96" t="s">
        <v>12</v>
      </c>
      <c r="K4" s="97" t="s">
        <v>13</v>
      </c>
      <c r="L4" s="251" t="s">
        <v>14</v>
      </c>
    </row>
    <row r="5" spans="1:12" x14ac:dyDescent="0.3">
      <c r="A5" s="102"/>
      <c r="B5" s="23" t="s">
        <v>15</v>
      </c>
      <c r="C5" s="84"/>
      <c r="D5" s="85">
        <f>'052026'!F378</f>
        <v>982</v>
      </c>
      <c r="E5" s="86"/>
      <c r="F5" s="108">
        <f>D5</f>
        <v>982</v>
      </c>
      <c r="G5" s="87">
        <v>0</v>
      </c>
      <c r="H5" s="88"/>
      <c r="I5" s="254">
        <v>0</v>
      </c>
      <c r="J5" s="89">
        <f>'052026'!L378</f>
        <v>206690</v>
      </c>
      <c r="K5" s="90"/>
      <c r="L5" s="257">
        <f>J5</f>
        <v>206690</v>
      </c>
    </row>
    <row r="6" spans="1:12" x14ac:dyDescent="0.3">
      <c r="A6" s="32"/>
      <c r="B6" s="230"/>
      <c r="C6" s="267"/>
      <c r="D6" s="236"/>
      <c r="E6" s="231"/>
      <c r="F6" s="54">
        <f>+F5+C6+D6-E6</f>
        <v>982</v>
      </c>
      <c r="G6" s="240"/>
      <c r="H6" s="226">
        <v>0</v>
      </c>
      <c r="I6" s="62">
        <f>I5++G6-H6</f>
        <v>0</v>
      </c>
      <c r="J6" s="233"/>
      <c r="K6" s="246"/>
      <c r="L6" s="67">
        <f>L5++J6-K6</f>
        <v>206690</v>
      </c>
    </row>
    <row r="7" spans="1:12" x14ac:dyDescent="0.3">
      <c r="A7" s="32"/>
      <c r="B7" s="230"/>
      <c r="C7" s="244"/>
      <c r="D7" s="236"/>
      <c r="E7" s="231"/>
      <c r="F7" s="54">
        <f t="shared" ref="F7:F28" si="0">+F6+C7+D7-E7</f>
        <v>982</v>
      </c>
      <c r="G7" s="241"/>
      <c r="H7" s="226"/>
      <c r="I7" s="62">
        <f t="shared" ref="I7:I28" si="1">I6++G7-H7</f>
        <v>0</v>
      </c>
      <c r="J7" s="233"/>
      <c r="K7" s="246"/>
      <c r="L7" s="67">
        <f t="shared" ref="L7:L28" si="2">L6++J7-K7</f>
        <v>206690</v>
      </c>
    </row>
    <row r="8" spans="1:12" x14ac:dyDescent="0.3">
      <c r="A8" s="32"/>
      <c r="B8" s="230"/>
      <c r="C8" s="244"/>
      <c r="D8" s="236"/>
      <c r="E8" s="235"/>
      <c r="F8" s="54">
        <f t="shared" si="0"/>
        <v>982</v>
      </c>
      <c r="G8" s="240"/>
      <c r="H8" s="228"/>
      <c r="I8" s="62">
        <f t="shared" si="1"/>
        <v>0</v>
      </c>
      <c r="J8" s="247"/>
      <c r="K8" s="246"/>
      <c r="L8" s="67">
        <f t="shared" si="2"/>
        <v>206690</v>
      </c>
    </row>
    <row r="9" spans="1:12" x14ac:dyDescent="0.3">
      <c r="A9" s="32"/>
      <c r="B9" s="230"/>
      <c r="C9" s="267"/>
      <c r="D9" s="236"/>
      <c r="E9" s="235"/>
      <c r="F9" s="54">
        <f t="shared" si="0"/>
        <v>982</v>
      </c>
      <c r="G9" s="240"/>
      <c r="H9" s="226"/>
      <c r="I9" s="62">
        <f t="shared" si="1"/>
        <v>0</v>
      </c>
      <c r="J9" s="233"/>
      <c r="K9" s="246"/>
      <c r="L9" s="67">
        <f t="shared" si="2"/>
        <v>206690</v>
      </c>
    </row>
    <row r="10" spans="1:12" x14ac:dyDescent="0.3">
      <c r="A10" s="32"/>
      <c r="B10" s="230"/>
      <c r="C10" s="268"/>
      <c r="D10" s="236"/>
      <c r="E10" s="235"/>
      <c r="F10" s="54">
        <f t="shared" si="0"/>
        <v>982</v>
      </c>
      <c r="G10" s="240"/>
      <c r="H10" s="226"/>
      <c r="I10" s="62">
        <f t="shared" si="1"/>
        <v>0</v>
      </c>
      <c r="J10" s="247"/>
      <c r="K10" s="246"/>
      <c r="L10" s="67">
        <f t="shared" si="2"/>
        <v>206690</v>
      </c>
    </row>
    <row r="11" spans="1:12" x14ac:dyDescent="0.3">
      <c r="A11" s="32"/>
      <c r="B11" s="230"/>
      <c r="C11" s="267"/>
      <c r="D11" s="236"/>
      <c r="E11" s="231"/>
      <c r="F11" s="54">
        <f t="shared" si="0"/>
        <v>982</v>
      </c>
      <c r="G11" s="240"/>
      <c r="H11" s="226"/>
      <c r="I11" s="62">
        <f t="shared" si="1"/>
        <v>0</v>
      </c>
      <c r="J11" s="229"/>
      <c r="K11" s="246"/>
      <c r="L11" s="67">
        <f t="shared" si="2"/>
        <v>206690</v>
      </c>
    </row>
    <row r="12" spans="1:12" x14ac:dyDescent="0.3">
      <c r="A12" s="32"/>
      <c r="B12" s="230"/>
      <c r="C12" s="244"/>
      <c r="D12" s="236"/>
      <c r="E12" s="231"/>
      <c r="F12" s="54">
        <f t="shared" si="0"/>
        <v>982</v>
      </c>
      <c r="G12" s="240"/>
      <c r="H12" s="228"/>
      <c r="I12" s="62">
        <f t="shared" si="1"/>
        <v>0</v>
      </c>
      <c r="J12" s="229"/>
      <c r="K12" s="246"/>
      <c r="L12" s="67">
        <f t="shared" si="2"/>
        <v>206690</v>
      </c>
    </row>
    <row r="13" spans="1:12" x14ac:dyDescent="0.3">
      <c r="A13" s="32"/>
      <c r="B13" s="230"/>
      <c r="C13" s="245"/>
      <c r="D13" s="235"/>
      <c r="E13" s="231"/>
      <c r="F13" s="54">
        <f t="shared" si="0"/>
        <v>982</v>
      </c>
      <c r="G13" s="241"/>
      <c r="H13" s="226"/>
      <c r="I13" s="62">
        <f t="shared" si="1"/>
        <v>0</v>
      </c>
      <c r="J13" s="266"/>
      <c r="K13" s="246"/>
      <c r="L13" s="67">
        <f t="shared" si="2"/>
        <v>206690</v>
      </c>
    </row>
    <row r="14" spans="1:12" x14ac:dyDescent="0.3">
      <c r="A14" s="32"/>
      <c r="B14" s="230"/>
      <c r="C14" s="244"/>
      <c r="D14" s="235"/>
      <c r="E14" s="231"/>
      <c r="F14" s="54">
        <f t="shared" si="0"/>
        <v>982</v>
      </c>
      <c r="G14" s="240"/>
      <c r="H14" s="226"/>
      <c r="I14" s="62">
        <f t="shared" si="1"/>
        <v>0</v>
      </c>
      <c r="J14" s="248"/>
      <c r="K14" s="246"/>
      <c r="L14" s="67">
        <f t="shared" si="2"/>
        <v>206690</v>
      </c>
    </row>
    <row r="15" spans="1:12" x14ac:dyDescent="0.3">
      <c r="A15" s="32"/>
      <c r="B15" s="230"/>
      <c r="C15" s="244"/>
      <c r="D15" s="235"/>
      <c r="E15" s="231"/>
      <c r="F15" s="54">
        <f t="shared" si="0"/>
        <v>982</v>
      </c>
      <c r="G15" s="240"/>
      <c r="H15" s="226"/>
      <c r="I15" s="62">
        <f t="shared" si="1"/>
        <v>0</v>
      </c>
      <c r="J15" s="233"/>
      <c r="K15" s="246"/>
      <c r="L15" s="67">
        <f t="shared" si="2"/>
        <v>206690</v>
      </c>
    </row>
    <row r="16" spans="1:12" x14ac:dyDescent="0.3">
      <c r="A16" s="32"/>
      <c r="B16" s="232"/>
      <c r="C16" s="244"/>
      <c r="D16" s="235"/>
      <c r="E16" s="231"/>
      <c r="F16" s="54">
        <f t="shared" si="0"/>
        <v>982</v>
      </c>
      <c r="G16" s="240"/>
      <c r="H16" s="226"/>
      <c r="I16" s="62">
        <f t="shared" si="1"/>
        <v>0</v>
      </c>
      <c r="J16" s="247"/>
      <c r="K16" s="246"/>
      <c r="L16" s="67">
        <f t="shared" si="2"/>
        <v>206690</v>
      </c>
    </row>
    <row r="17" spans="1:12" x14ac:dyDescent="0.3">
      <c r="A17" s="32"/>
      <c r="B17" s="230"/>
      <c r="C17" s="122"/>
      <c r="D17" s="235"/>
      <c r="E17" s="231"/>
      <c r="F17" s="54">
        <f t="shared" si="0"/>
        <v>982</v>
      </c>
      <c r="G17" s="240"/>
      <c r="H17" s="226"/>
      <c r="I17" s="62">
        <f t="shared" si="1"/>
        <v>0</v>
      </c>
      <c r="J17" s="229"/>
      <c r="K17" s="246"/>
      <c r="L17" s="67">
        <f t="shared" si="2"/>
        <v>206690</v>
      </c>
    </row>
    <row r="18" spans="1:12" x14ac:dyDescent="0.3">
      <c r="A18" s="32"/>
      <c r="B18" s="230"/>
      <c r="C18" s="267"/>
      <c r="D18" s="236"/>
      <c r="E18" s="231"/>
      <c r="F18" s="54">
        <f t="shared" si="0"/>
        <v>982</v>
      </c>
      <c r="G18" s="240"/>
      <c r="H18" s="226"/>
      <c r="I18" s="62">
        <f t="shared" si="1"/>
        <v>0</v>
      </c>
      <c r="J18" s="229"/>
      <c r="K18" s="246"/>
      <c r="L18" s="67">
        <f t="shared" si="2"/>
        <v>206690</v>
      </c>
    </row>
    <row r="19" spans="1:12" x14ac:dyDescent="0.3">
      <c r="A19" s="32"/>
      <c r="B19" s="230"/>
      <c r="C19" s="244"/>
      <c r="D19" s="236"/>
      <c r="E19" s="231"/>
      <c r="F19" s="54">
        <f t="shared" si="0"/>
        <v>982</v>
      </c>
      <c r="G19" s="242"/>
      <c r="H19" s="226"/>
      <c r="I19" s="62">
        <f t="shared" si="1"/>
        <v>0</v>
      </c>
      <c r="J19" s="233"/>
      <c r="K19" s="246"/>
      <c r="L19" s="67">
        <f t="shared" si="2"/>
        <v>206690</v>
      </c>
    </row>
    <row r="20" spans="1:12" x14ac:dyDescent="0.3">
      <c r="A20" s="32"/>
      <c r="B20" s="230"/>
      <c r="C20" s="245"/>
      <c r="D20" s="236"/>
      <c r="E20" s="231"/>
      <c r="F20" s="54">
        <f t="shared" si="0"/>
        <v>982</v>
      </c>
      <c r="G20" s="242"/>
      <c r="H20" s="227"/>
      <c r="I20" s="62">
        <f t="shared" si="1"/>
        <v>0</v>
      </c>
      <c r="J20" s="233"/>
      <c r="K20" s="246"/>
      <c r="L20" s="67">
        <f t="shared" si="2"/>
        <v>206690</v>
      </c>
    </row>
    <row r="21" spans="1:12" x14ac:dyDescent="0.3">
      <c r="A21" s="32"/>
      <c r="B21" s="230"/>
      <c r="C21" s="244"/>
      <c r="D21" s="236"/>
      <c r="E21" s="231"/>
      <c r="F21" s="54">
        <f t="shared" si="0"/>
        <v>982</v>
      </c>
      <c r="G21" s="243"/>
      <c r="H21" s="227"/>
      <c r="I21" s="62">
        <f t="shared" si="1"/>
        <v>0</v>
      </c>
      <c r="J21" s="264"/>
      <c r="K21" s="246"/>
      <c r="L21" s="67">
        <f t="shared" si="2"/>
        <v>206690</v>
      </c>
    </row>
    <row r="22" spans="1:12" x14ac:dyDescent="0.3">
      <c r="A22" s="32"/>
      <c r="B22" s="232"/>
      <c r="C22" s="244"/>
      <c r="D22" s="236"/>
      <c r="E22" s="231"/>
      <c r="F22" s="54">
        <f t="shared" si="0"/>
        <v>982</v>
      </c>
      <c r="G22" s="223"/>
      <c r="H22" s="221"/>
      <c r="I22" s="62">
        <f t="shared" si="1"/>
        <v>0</v>
      </c>
      <c r="J22" s="229"/>
      <c r="K22" s="246"/>
      <c r="L22" s="67">
        <f t="shared" si="2"/>
        <v>206690</v>
      </c>
    </row>
    <row r="23" spans="1:12" x14ac:dyDescent="0.3">
      <c r="A23" s="32"/>
      <c r="B23" s="230"/>
      <c r="C23" s="245"/>
      <c r="D23" s="235"/>
      <c r="E23" s="231"/>
      <c r="F23" s="54">
        <f t="shared" si="0"/>
        <v>982</v>
      </c>
      <c r="G23" s="223"/>
      <c r="H23" s="227"/>
      <c r="I23" s="62">
        <f t="shared" si="1"/>
        <v>0</v>
      </c>
      <c r="J23" s="229"/>
      <c r="K23" s="246"/>
      <c r="L23" s="67">
        <f t="shared" si="2"/>
        <v>206690</v>
      </c>
    </row>
    <row r="24" spans="1:12" x14ac:dyDescent="0.3">
      <c r="A24" s="32"/>
      <c r="B24" s="222"/>
      <c r="C24" s="245"/>
      <c r="D24" s="235"/>
      <c r="E24" s="231"/>
      <c r="F24" s="54">
        <f t="shared" si="0"/>
        <v>982</v>
      </c>
      <c r="G24" s="223"/>
      <c r="H24" s="227"/>
      <c r="I24" s="62">
        <f t="shared" si="1"/>
        <v>0</v>
      </c>
      <c r="J24" s="247"/>
      <c r="K24" s="246"/>
      <c r="L24" s="67">
        <f t="shared" si="2"/>
        <v>206690</v>
      </c>
    </row>
    <row r="25" spans="1:12" x14ac:dyDescent="0.3">
      <c r="A25" s="32"/>
      <c r="B25" s="230"/>
      <c r="C25" s="245"/>
      <c r="D25" s="235"/>
      <c r="E25" s="224"/>
      <c r="F25" s="54">
        <f t="shared" si="0"/>
        <v>982</v>
      </c>
      <c r="G25" s="223"/>
      <c r="H25" s="227"/>
      <c r="I25" s="62">
        <f t="shared" si="1"/>
        <v>0</v>
      </c>
      <c r="J25" s="65"/>
      <c r="K25" s="246"/>
      <c r="L25" s="67">
        <f t="shared" si="2"/>
        <v>206690</v>
      </c>
    </row>
    <row r="26" spans="1:12" x14ac:dyDescent="0.3">
      <c r="A26" s="32"/>
      <c r="B26" s="230"/>
      <c r="C26" s="245"/>
      <c r="D26" s="231"/>
      <c r="E26" s="231"/>
      <c r="F26" s="54">
        <f t="shared" si="0"/>
        <v>982</v>
      </c>
      <c r="G26" s="223"/>
      <c r="H26" s="227"/>
      <c r="I26" s="62">
        <f t="shared" si="1"/>
        <v>0</v>
      </c>
      <c r="J26" s="229"/>
      <c r="K26" s="246"/>
      <c r="L26" s="67">
        <f t="shared" si="2"/>
        <v>206690</v>
      </c>
    </row>
    <row r="27" spans="1:12" x14ac:dyDescent="0.3">
      <c r="A27" s="32"/>
      <c r="B27" s="230"/>
      <c r="C27" s="244"/>
      <c r="D27" s="235"/>
      <c r="E27" s="231"/>
      <c r="F27" s="54">
        <f t="shared" si="0"/>
        <v>982</v>
      </c>
      <c r="G27" s="223"/>
      <c r="H27" s="227"/>
      <c r="I27" s="62">
        <f t="shared" si="1"/>
        <v>0</v>
      </c>
      <c r="J27" s="248"/>
      <c r="K27" s="246"/>
      <c r="L27" s="67">
        <f t="shared" si="2"/>
        <v>206690</v>
      </c>
    </row>
    <row r="28" spans="1:12" x14ac:dyDescent="0.3">
      <c r="A28" s="32"/>
      <c r="B28" s="232"/>
      <c r="C28" s="244"/>
      <c r="D28" s="235"/>
      <c r="E28" s="83"/>
      <c r="F28" s="54">
        <f t="shared" si="0"/>
        <v>982</v>
      </c>
      <c r="G28" s="223"/>
      <c r="H28" s="227"/>
      <c r="I28" s="62">
        <f t="shared" si="1"/>
        <v>0</v>
      </c>
      <c r="J28" s="248"/>
      <c r="K28" s="246"/>
      <c r="L28" s="67">
        <f t="shared" si="2"/>
        <v>206690</v>
      </c>
    </row>
    <row r="29" spans="1:12" x14ac:dyDescent="0.3">
      <c r="A29" s="32"/>
      <c r="B29" s="230"/>
      <c r="C29" s="267"/>
      <c r="D29" s="236"/>
      <c r="E29" s="231"/>
      <c r="F29" s="54">
        <f>+F28+C29+D29-E29</f>
        <v>982</v>
      </c>
      <c r="G29" s="240"/>
      <c r="H29" s="226">
        <v>0</v>
      </c>
      <c r="I29" s="62">
        <f>I28++G29-H29</f>
        <v>0</v>
      </c>
      <c r="J29" s="233"/>
      <c r="K29" s="246"/>
      <c r="L29" s="67">
        <f>L28++J29-K29</f>
        <v>206690</v>
      </c>
    </row>
    <row r="30" spans="1:12" x14ac:dyDescent="0.3">
      <c r="A30" s="32"/>
      <c r="B30" s="230"/>
      <c r="C30" s="244"/>
      <c r="D30" s="236"/>
      <c r="E30" s="231"/>
      <c r="F30" s="54">
        <f t="shared" ref="F30:F35" si="3">+F29+C30+D30-E30</f>
        <v>982</v>
      </c>
      <c r="G30" s="241"/>
      <c r="H30" s="226"/>
      <c r="I30" s="62">
        <f t="shared" ref="I30:I35" si="4">I29++G30-H30</f>
        <v>0</v>
      </c>
      <c r="J30" s="233"/>
      <c r="K30" s="246"/>
      <c r="L30" s="67">
        <f t="shared" ref="L30:L35" si="5">L29++J30-K30</f>
        <v>206690</v>
      </c>
    </row>
    <row r="31" spans="1:12" x14ac:dyDescent="0.3">
      <c r="A31" s="32"/>
      <c r="B31" s="230"/>
      <c r="C31" s="244"/>
      <c r="D31" s="236"/>
      <c r="E31" s="235"/>
      <c r="F31" s="54">
        <f t="shared" si="3"/>
        <v>982</v>
      </c>
      <c r="G31" s="240"/>
      <c r="H31" s="228"/>
      <c r="I31" s="62">
        <f t="shared" si="4"/>
        <v>0</v>
      </c>
      <c r="J31" s="247"/>
      <c r="K31" s="246"/>
      <c r="L31" s="67">
        <f t="shared" si="5"/>
        <v>206690</v>
      </c>
    </row>
    <row r="32" spans="1:12" x14ac:dyDescent="0.3">
      <c r="A32" s="32"/>
      <c r="B32" s="230"/>
      <c r="C32" s="267"/>
      <c r="D32" s="236"/>
      <c r="E32" s="235"/>
      <c r="F32" s="54">
        <f t="shared" si="3"/>
        <v>982</v>
      </c>
      <c r="G32" s="240"/>
      <c r="H32" s="226"/>
      <c r="I32" s="62">
        <f t="shared" si="4"/>
        <v>0</v>
      </c>
      <c r="J32" s="233"/>
      <c r="K32" s="246"/>
      <c r="L32" s="67">
        <f t="shared" si="5"/>
        <v>206690</v>
      </c>
    </row>
    <row r="33" spans="1:12" x14ac:dyDescent="0.3">
      <c r="A33" s="32"/>
      <c r="B33" s="232"/>
      <c r="C33" s="239"/>
      <c r="D33" s="236"/>
      <c r="E33" s="235"/>
      <c r="F33" s="54">
        <f t="shared" si="3"/>
        <v>982</v>
      </c>
      <c r="G33" s="240"/>
      <c r="H33" s="226"/>
      <c r="I33" s="62">
        <f t="shared" si="4"/>
        <v>0</v>
      </c>
      <c r="J33" s="247"/>
      <c r="K33" s="246"/>
      <c r="L33" s="67">
        <f t="shared" si="5"/>
        <v>206690</v>
      </c>
    </row>
    <row r="34" spans="1:12" x14ac:dyDescent="0.3">
      <c r="A34" s="32"/>
      <c r="B34" s="232"/>
      <c r="C34" s="244"/>
      <c r="D34" s="236"/>
      <c r="E34" s="231"/>
      <c r="F34" s="54">
        <f t="shared" si="3"/>
        <v>982</v>
      </c>
      <c r="G34" s="240"/>
      <c r="H34" s="226"/>
      <c r="I34" s="62">
        <f t="shared" si="4"/>
        <v>0</v>
      </c>
      <c r="J34" s="229"/>
      <c r="K34" s="246"/>
      <c r="L34" s="67">
        <f t="shared" si="5"/>
        <v>206690</v>
      </c>
    </row>
    <row r="35" spans="1:12" x14ac:dyDescent="0.3">
      <c r="A35" s="32"/>
      <c r="B35" s="232"/>
      <c r="C35" s="244"/>
      <c r="D35" s="236"/>
      <c r="E35" s="231"/>
      <c r="F35" s="54">
        <f t="shared" si="3"/>
        <v>982</v>
      </c>
      <c r="G35" s="240"/>
      <c r="H35" s="228"/>
      <c r="I35" s="62">
        <f t="shared" si="4"/>
        <v>0</v>
      </c>
      <c r="J35" s="229"/>
      <c r="K35" s="246"/>
      <c r="L35" s="67">
        <f t="shared" si="5"/>
        <v>206690</v>
      </c>
    </row>
    <row r="36" spans="1:12" x14ac:dyDescent="0.3">
      <c r="A36" s="32"/>
      <c r="B36" s="230"/>
      <c r="C36" s="267"/>
      <c r="D36" s="236"/>
      <c r="E36" s="231"/>
      <c r="F36" s="54">
        <f>+F35+C36+D36-E36</f>
        <v>982</v>
      </c>
      <c r="G36" s="240"/>
      <c r="H36" s="226">
        <v>0</v>
      </c>
      <c r="I36" s="62">
        <f>I35++G36-H36</f>
        <v>0</v>
      </c>
      <c r="J36" s="233"/>
      <c r="K36" s="246"/>
      <c r="L36" s="67">
        <f>L35++J36-K36</f>
        <v>206690</v>
      </c>
    </row>
    <row r="37" spans="1:12" x14ac:dyDescent="0.3">
      <c r="A37" s="32"/>
      <c r="B37" s="230"/>
      <c r="C37" s="244"/>
      <c r="D37" s="236"/>
      <c r="E37" s="231"/>
      <c r="F37" s="54">
        <f t="shared" ref="F37:F39" si="6">+F36+C37+D37-E37</f>
        <v>982</v>
      </c>
      <c r="G37" s="241"/>
      <c r="H37" s="226"/>
      <c r="I37" s="62">
        <f t="shared" ref="I37:I39" si="7">I36++G37-H37</f>
        <v>0</v>
      </c>
      <c r="J37" s="233"/>
      <c r="K37" s="246"/>
      <c r="L37" s="67">
        <f t="shared" ref="L37:L39" si="8">L36++J37-K37</f>
        <v>206690</v>
      </c>
    </row>
    <row r="38" spans="1:12" x14ac:dyDescent="0.3">
      <c r="A38" s="32"/>
      <c r="B38" s="230"/>
      <c r="C38" s="244"/>
      <c r="D38" s="236"/>
      <c r="E38" s="235"/>
      <c r="F38" s="54">
        <f t="shared" si="6"/>
        <v>982</v>
      </c>
      <c r="G38" s="240"/>
      <c r="H38" s="228"/>
      <c r="I38" s="62">
        <f t="shared" si="7"/>
        <v>0</v>
      </c>
      <c r="J38" s="247"/>
      <c r="K38" s="246"/>
      <c r="L38" s="67">
        <f t="shared" si="8"/>
        <v>206690</v>
      </c>
    </row>
    <row r="39" spans="1:12" x14ac:dyDescent="0.3">
      <c r="A39" s="32"/>
      <c r="B39" s="230"/>
      <c r="C39" s="267"/>
      <c r="D39" s="236"/>
      <c r="E39" s="235"/>
      <c r="F39" s="54">
        <f t="shared" si="6"/>
        <v>982</v>
      </c>
      <c r="G39" s="240"/>
      <c r="H39" s="226"/>
      <c r="I39" s="62">
        <f t="shared" si="7"/>
        <v>0</v>
      </c>
      <c r="J39" s="233"/>
      <c r="K39" s="246"/>
      <c r="L39" s="67">
        <f t="shared" si="8"/>
        <v>206690</v>
      </c>
    </row>
    <row r="40" spans="1:12" x14ac:dyDescent="0.3">
      <c r="A40" s="32"/>
      <c r="B40" s="230"/>
      <c r="C40" s="267"/>
      <c r="D40" s="236"/>
      <c r="E40" s="231"/>
      <c r="F40" s="54">
        <f>+F39+C40+D40-E40</f>
        <v>982</v>
      </c>
      <c r="G40" s="240"/>
      <c r="H40" s="226">
        <v>0</v>
      </c>
      <c r="I40" s="62">
        <f>I39++G40-H40</f>
        <v>0</v>
      </c>
      <c r="J40" s="233"/>
      <c r="K40" s="246"/>
      <c r="L40" s="67">
        <f>L39++J40-K40</f>
        <v>206690</v>
      </c>
    </row>
    <row r="41" spans="1:12" x14ac:dyDescent="0.3">
      <c r="A41" s="32"/>
      <c r="B41" s="230"/>
      <c r="C41" s="244"/>
      <c r="D41" s="236"/>
      <c r="E41" s="231"/>
      <c r="F41" s="54">
        <f t="shared" ref="F41:F46" si="9">+F40+C41+D41-E41</f>
        <v>982</v>
      </c>
      <c r="G41" s="241"/>
      <c r="H41" s="226"/>
      <c r="I41" s="62">
        <f t="shared" ref="I41:I46" si="10">I40++G41-H41</f>
        <v>0</v>
      </c>
      <c r="J41" s="233"/>
      <c r="K41" s="246"/>
      <c r="L41" s="67">
        <f t="shared" ref="L41:L46" si="11">L40++J41-K41</f>
        <v>206690</v>
      </c>
    </row>
    <row r="42" spans="1:12" x14ac:dyDescent="0.3">
      <c r="A42" s="32"/>
      <c r="B42" s="230"/>
      <c r="C42" s="244"/>
      <c r="D42" s="236"/>
      <c r="E42" s="235"/>
      <c r="F42" s="54">
        <f t="shared" si="9"/>
        <v>982</v>
      </c>
      <c r="G42" s="240"/>
      <c r="H42" s="228"/>
      <c r="I42" s="62">
        <f t="shared" si="10"/>
        <v>0</v>
      </c>
      <c r="J42" s="247"/>
      <c r="K42" s="246"/>
      <c r="L42" s="67">
        <f t="shared" si="11"/>
        <v>206690</v>
      </c>
    </row>
    <row r="43" spans="1:12" x14ac:dyDescent="0.3">
      <c r="A43" s="32"/>
      <c r="B43" s="234"/>
      <c r="C43" s="244"/>
      <c r="D43" s="236"/>
      <c r="E43" s="235"/>
      <c r="F43" s="54">
        <f t="shared" si="9"/>
        <v>982</v>
      </c>
      <c r="G43" s="240"/>
      <c r="H43" s="226"/>
      <c r="I43" s="62">
        <f t="shared" si="10"/>
        <v>0</v>
      </c>
      <c r="J43" s="233"/>
      <c r="K43" s="246"/>
      <c r="L43" s="67">
        <f t="shared" si="11"/>
        <v>206690</v>
      </c>
    </row>
    <row r="44" spans="1:12" x14ac:dyDescent="0.3">
      <c r="A44" s="32"/>
      <c r="B44" s="230"/>
      <c r="C44" s="239"/>
      <c r="D44" s="236"/>
      <c r="E44" s="235"/>
      <c r="F44" s="54">
        <f t="shared" si="9"/>
        <v>982</v>
      </c>
      <c r="G44" s="240"/>
      <c r="H44" s="226"/>
      <c r="I44" s="62">
        <f t="shared" si="10"/>
        <v>0</v>
      </c>
      <c r="J44" s="247"/>
      <c r="K44" s="246"/>
      <c r="L44" s="67">
        <f t="shared" si="11"/>
        <v>206690</v>
      </c>
    </row>
    <row r="45" spans="1:12" x14ac:dyDescent="0.3">
      <c r="A45" s="32"/>
      <c r="B45" s="234"/>
      <c r="C45" s="244"/>
      <c r="D45" s="236"/>
      <c r="E45" s="39"/>
      <c r="F45" s="54">
        <f t="shared" si="9"/>
        <v>982</v>
      </c>
      <c r="G45" s="240"/>
      <c r="H45" s="226"/>
      <c r="I45" s="62">
        <f t="shared" si="10"/>
        <v>0</v>
      </c>
      <c r="J45" s="229"/>
      <c r="K45" s="246"/>
      <c r="L45" s="67">
        <f t="shared" si="11"/>
        <v>206690</v>
      </c>
    </row>
    <row r="46" spans="1:12" x14ac:dyDescent="0.3">
      <c r="A46" s="32"/>
      <c r="B46" s="232"/>
      <c r="C46" s="244"/>
      <c r="D46" s="236"/>
      <c r="E46" s="231"/>
      <c r="F46" s="54">
        <f t="shared" si="9"/>
        <v>982</v>
      </c>
      <c r="G46" s="240"/>
      <c r="H46" s="228"/>
      <c r="I46" s="62">
        <f t="shared" si="10"/>
        <v>0</v>
      </c>
      <c r="J46" s="229"/>
      <c r="K46" s="246"/>
      <c r="L46" s="67">
        <f t="shared" si="11"/>
        <v>206690</v>
      </c>
    </row>
    <row r="47" spans="1:12" x14ac:dyDescent="0.3">
      <c r="A47" s="32"/>
      <c r="B47" s="232"/>
      <c r="C47" s="244"/>
      <c r="D47" s="236"/>
      <c r="E47" s="231"/>
      <c r="F47" s="54">
        <f>+F46+C47+D47-E47</f>
        <v>982</v>
      </c>
      <c r="G47" s="240"/>
      <c r="H47" s="226">
        <v>0</v>
      </c>
      <c r="I47" s="62">
        <f>I46++G47-H47</f>
        <v>0</v>
      </c>
      <c r="J47" s="233"/>
      <c r="K47" s="246"/>
      <c r="L47" s="67">
        <f>L46++J47-K47</f>
        <v>206690</v>
      </c>
    </row>
    <row r="48" spans="1:12" x14ac:dyDescent="0.3">
      <c r="A48" s="32"/>
      <c r="B48" s="230"/>
      <c r="C48" s="244"/>
      <c r="D48" s="236"/>
      <c r="E48" s="231"/>
      <c r="F48" s="54">
        <f t="shared" ref="F48:F65" si="12">+F47+C48+D48-E48</f>
        <v>982</v>
      </c>
      <c r="G48" s="241"/>
      <c r="H48" s="226"/>
      <c r="I48" s="62">
        <f t="shared" ref="I48:I65" si="13">I47++G48-H48</f>
        <v>0</v>
      </c>
      <c r="J48" s="233"/>
      <c r="K48" s="246"/>
      <c r="L48" s="67">
        <f t="shared" ref="L48:L65" si="14">L47++J48-K48</f>
        <v>206690</v>
      </c>
    </row>
    <row r="49" spans="1:12" x14ac:dyDescent="0.3">
      <c r="A49" s="32"/>
      <c r="B49" s="230"/>
      <c r="C49" s="244"/>
      <c r="D49" s="236"/>
      <c r="E49" s="235"/>
      <c r="F49" s="54">
        <f t="shared" si="12"/>
        <v>982</v>
      </c>
      <c r="G49" s="240"/>
      <c r="H49" s="228"/>
      <c r="I49" s="62">
        <f t="shared" si="13"/>
        <v>0</v>
      </c>
      <c r="J49" s="247"/>
      <c r="K49" s="246"/>
      <c r="L49" s="67">
        <f t="shared" si="14"/>
        <v>206690</v>
      </c>
    </row>
    <row r="50" spans="1:12" x14ac:dyDescent="0.3">
      <c r="A50" s="32"/>
      <c r="B50" s="230"/>
      <c r="C50" s="244"/>
      <c r="D50" s="236"/>
      <c r="E50" s="235"/>
      <c r="F50" s="54">
        <f t="shared" si="12"/>
        <v>982</v>
      </c>
      <c r="G50" s="240"/>
      <c r="H50" s="226"/>
      <c r="I50" s="62">
        <f t="shared" si="13"/>
        <v>0</v>
      </c>
      <c r="J50" s="233"/>
      <c r="K50" s="246"/>
      <c r="L50" s="67">
        <f t="shared" si="14"/>
        <v>206690</v>
      </c>
    </row>
    <row r="51" spans="1:12" x14ac:dyDescent="0.3">
      <c r="A51" s="32"/>
      <c r="B51" s="230"/>
      <c r="C51" s="239"/>
      <c r="D51" s="236"/>
      <c r="E51" s="235"/>
      <c r="F51" s="54">
        <f t="shared" si="12"/>
        <v>982</v>
      </c>
      <c r="G51" s="240"/>
      <c r="H51" s="226"/>
      <c r="I51" s="62">
        <f t="shared" si="13"/>
        <v>0</v>
      </c>
      <c r="J51" s="247"/>
      <c r="K51" s="246"/>
      <c r="L51" s="67">
        <f t="shared" si="14"/>
        <v>206690</v>
      </c>
    </row>
    <row r="52" spans="1:12" x14ac:dyDescent="0.3">
      <c r="A52" s="32"/>
      <c r="B52" s="222"/>
      <c r="C52" s="244"/>
      <c r="D52" s="236"/>
      <c r="E52" s="224"/>
      <c r="F52" s="54">
        <f t="shared" si="12"/>
        <v>982</v>
      </c>
      <c r="G52" s="240"/>
      <c r="H52" s="226"/>
      <c r="I52" s="62">
        <f t="shared" si="13"/>
        <v>0</v>
      </c>
      <c r="J52" s="229"/>
      <c r="K52" s="246"/>
      <c r="L52" s="67">
        <f t="shared" si="14"/>
        <v>206690</v>
      </c>
    </row>
    <row r="53" spans="1:12" x14ac:dyDescent="0.3">
      <c r="A53" s="32"/>
      <c r="B53" s="232"/>
      <c r="C53" s="244"/>
      <c r="D53" s="236"/>
      <c r="E53" s="231"/>
      <c r="F53" s="54">
        <f t="shared" si="12"/>
        <v>982</v>
      </c>
      <c r="G53" s="240"/>
      <c r="H53" s="228"/>
      <c r="I53" s="62">
        <f t="shared" si="13"/>
        <v>0</v>
      </c>
      <c r="J53" s="229"/>
      <c r="K53" s="246"/>
      <c r="L53" s="67">
        <f t="shared" si="14"/>
        <v>206690</v>
      </c>
    </row>
    <row r="54" spans="1:12" x14ac:dyDescent="0.3">
      <c r="A54" s="32"/>
      <c r="B54" s="230"/>
      <c r="C54" s="245"/>
      <c r="D54" s="235"/>
      <c r="E54" s="231"/>
      <c r="F54" s="54">
        <f t="shared" si="12"/>
        <v>982</v>
      </c>
      <c r="G54" s="241"/>
      <c r="H54" s="226"/>
      <c r="I54" s="62">
        <f t="shared" si="13"/>
        <v>0</v>
      </c>
      <c r="J54" s="266"/>
      <c r="K54" s="246"/>
      <c r="L54" s="67">
        <f t="shared" si="14"/>
        <v>206690</v>
      </c>
    </row>
    <row r="55" spans="1:12" x14ac:dyDescent="0.3">
      <c r="A55" s="32"/>
      <c r="B55" s="230"/>
      <c r="C55" s="245"/>
      <c r="D55" s="235"/>
      <c r="E55" s="231"/>
      <c r="F55" s="54">
        <f t="shared" si="12"/>
        <v>982</v>
      </c>
      <c r="G55" s="240"/>
      <c r="H55" s="226"/>
      <c r="I55" s="62">
        <f t="shared" si="13"/>
        <v>0</v>
      </c>
      <c r="J55" s="248"/>
      <c r="K55" s="246"/>
      <c r="L55" s="67">
        <f t="shared" si="14"/>
        <v>206690</v>
      </c>
    </row>
    <row r="56" spans="1:12" x14ac:dyDescent="0.3">
      <c r="A56" s="32"/>
      <c r="B56" s="230"/>
      <c r="C56" s="244"/>
      <c r="D56" s="235"/>
      <c r="E56" s="231"/>
      <c r="F56" s="54">
        <f t="shared" si="12"/>
        <v>982</v>
      </c>
      <c r="G56" s="240"/>
      <c r="H56" s="226"/>
      <c r="I56" s="62">
        <f t="shared" si="13"/>
        <v>0</v>
      </c>
      <c r="J56" s="233"/>
      <c r="K56" s="246"/>
      <c r="L56" s="67">
        <f t="shared" si="14"/>
        <v>206690</v>
      </c>
    </row>
    <row r="57" spans="1:12" x14ac:dyDescent="0.3">
      <c r="A57" s="32"/>
      <c r="B57" s="232"/>
      <c r="C57" s="244"/>
      <c r="D57" s="235"/>
      <c r="E57" s="231"/>
      <c r="F57" s="54">
        <f t="shared" si="12"/>
        <v>982</v>
      </c>
      <c r="G57" s="240"/>
      <c r="H57" s="226"/>
      <c r="I57" s="62">
        <f t="shared" si="13"/>
        <v>0</v>
      </c>
      <c r="J57" s="247"/>
      <c r="K57" s="246"/>
      <c r="L57" s="67">
        <f t="shared" si="14"/>
        <v>206690</v>
      </c>
    </row>
    <row r="58" spans="1:12" x14ac:dyDescent="0.3">
      <c r="A58" s="32"/>
      <c r="B58" s="232"/>
      <c r="C58" s="244"/>
      <c r="D58" s="235"/>
      <c r="E58" s="231"/>
      <c r="F58" s="54">
        <f t="shared" si="12"/>
        <v>982</v>
      </c>
      <c r="G58" s="240"/>
      <c r="H58" s="226"/>
      <c r="I58" s="62">
        <f t="shared" si="13"/>
        <v>0</v>
      </c>
      <c r="J58" s="229"/>
      <c r="K58" s="246"/>
      <c r="L58" s="67">
        <f t="shared" si="14"/>
        <v>206690</v>
      </c>
    </row>
    <row r="59" spans="1:12" x14ac:dyDescent="0.3">
      <c r="A59" s="32"/>
      <c r="B59" s="230"/>
      <c r="C59" s="122"/>
      <c r="D59" s="235"/>
      <c r="E59" s="231"/>
      <c r="F59" s="54">
        <f t="shared" si="12"/>
        <v>982</v>
      </c>
      <c r="G59" s="240"/>
      <c r="H59" s="226"/>
      <c r="I59" s="62">
        <f t="shared" si="13"/>
        <v>0</v>
      </c>
      <c r="J59" s="229"/>
      <c r="K59" s="246"/>
      <c r="L59" s="67">
        <f t="shared" si="14"/>
        <v>206690</v>
      </c>
    </row>
    <row r="60" spans="1:12" x14ac:dyDescent="0.3">
      <c r="A60" s="32"/>
      <c r="B60" s="230"/>
      <c r="C60" s="267"/>
      <c r="D60" s="236"/>
      <c r="E60" s="231"/>
      <c r="F60" s="54">
        <f t="shared" si="12"/>
        <v>982</v>
      </c>
      <c r="G60" s="242"/>
      <c r="H60" s="226"/>
      <c r="I60" s="62">
        <f t="shared" si="13"/>
        <v>0</v>
      </c>
      <c r="J60" s="233"/>
      <c r="K60" s="246"/>
      <c r="L60" s="67">
        <f t="shared" si="14"/>
        <v>206690</v>
      </c>
    </row>
    <row r="61" spans="1:12" x14ac:dyDescent="0.3">
      <c r="A61" s="32"/>
      <c r="B61" s="230"/>
      <c r="C61" s="244"/>
      <c r="D61" s="236"/>
      <c r="E61" s="231"/>
      <c r="F61" s="54">
        <f t="shared" si="12"/>
        <v>982</v>
      </c>
      <c r="G61" s="242"/>
      <c r="H61" s="227"/>
      <c r="I61" s="62">
        <f t="shared" si="13"/>
        <v>0</v>
      </c>
      <c r="J61" s="233"/>
      <c r="K61" s="246"/>
      <c r="L61" s="67">
        <f t="shared" si="14"/>
        <v>206690</v>
      </c>
    </row>
    <row r="62" spans="1:12" x14ac:dyDescent="0.3">
      <c r="A62" s="32"/>
      <c r="B62" s="230"/>
      <c r="C62" s="244"/>
      <c r="D62" s="236"/>
      <c r="E62" s="231"/>
      <c r="F62" s="54">
        <f t="shared" si="12"/>
        <v>982</v>
      </c>
      <c r="G62" s="243"/>
      <c r="H62" s="227"/>
      <c r="I62" s="62">
        <f t="shared" si="13"/>
        <v>0</v>
      </c>
      <c r="J62" s="264"/>
      <c r="K62" s="246"/>
      <c r="L62" s="67">
        <f t="shared" si="14"/>
        <v>206690</v>
      </c>
    </row>
    <row r="63" spans="1:12" x14ac:dyDescent="0.3">
      <c r="A63" s="32"/>
      <c r="B63" s="230"/>
      <c r="C63" s="244"/>
      <c r="D63" s="236"/>
      <c r="E63" s="231"/>
      <c r="F63" s="54">
        <f t="shared" si="12"/>
        <v>982</v>
      </c>
      <c r="G63" s="223"/>
      <c r="H63" s="221"/>
      <c r="I63" s="62">
        <f t="shared" si="13"/>
        <v>0</v>
      </c>
      <c r="J63" s="229"/>
      <c r="K63" s="246"/>
      <c r="L63" s="67">
        <f t="shared" si="14"/>
        <v>206690</v>
      </c>
    </row>
    <row r="64" spans="1:12" x14ac:dyDescent="0.3">
      <c r="A64" s="32"/>
      <c r="B64" s="230"/>
      <c r="C64" s="245"/>
      <c r="D64" s="235"/>
      <c r="E64" s="231"/>
      <c r="F64" s="54">
        <f t="shared" si="12"/>
        <v>982</v>
      </c>
      <c r="G64" s="223"/>
      <c r="H64" s="227"/>
      <c r="I64" s="62">
        <f t="shared" si="13"/>
        <v>0</v>
      </c>
      <c r="J64" s="229"/>
      <c r="K64" s="246"/>
      <c r="L64" s="67">
        <f t="shared" si="14"/>
        <v>206690</v>
      </c>
    </row>
    <row r="65" spans="1:12" x14ac:dyDescent="0.3">
      <c r="A65" s="32"/>
      <c r="B65" s="230"/>
      <c r="C65" s="245"/>
      <c r="D65" s="235"/>
      <c r="E65" s="231"/>
      <c r="F65" s="54">
        <f t="shared" si="12"/>
        <v>982</v>
      </c>
      <c r="G65" s="223"/>
      <c r="H65" s="227"/>
      <c r="I65" s="62">
        <f t="shared" si="13"/>
        <v>0</v>
      </c>
      <c r="J65" s="247"/>
      <c r="K65" s="246"/>
      <c r="L65" s="67">
        <f t="shared" si="14"/>
        <v>206690</v>
      </c>
    </row>
    <row r="66" spans="1:12" x14ac:dyDescent="0.3">
      <c r="A66" s="32"/>
      <c r="B66" s="230"/>
      <c r="C66" s="244"/>
      <c r="D66" s="236"/>
      <c r="E66" s="231"/>
      <c r="F66" s="54">
        <f>+F65+C66+D66-E66</f>
        <v>982</v>
      </c>
      <c r="G66" s="240"/>
      <c r="H66" s="226">
        <v>0</v>
      </c>
      <c r="I66" s="62">
        <f>I65++G66-H66</f>
        <v>0</v>
      </c>
      <c r="J66" s="233"/>
      <c r="K66" s="246"/>
      <c r="L66" s="67">
        <f>L65++J66-K66</f>
        <v>206690</v>
      </c>
    </row>
    <row r="67" spans="1:12" x14ac:dyDescent="0.3">
      <c r="A67" s="32"/>
      <c r="B67" s="230"/>
      <c r="C67" s="244"/>
      <c r="D67" s="236"/>
      <c r="E67" s="231"/>
      <c r="F67" s="54">
        <f t="shared" ref="F67:F96" si="15">+F66+C67+D67-E67</f>
        <v>982</v>
      </c>
      <c r="G67" s="241"/>
      <c r="H67" s="226"/>
      <c r="I67" s="62">
        <f t="shared" ref="I67:I96" si="16">I66++G67-H67</f>
        <v>0</v>
      </c>
      <c r="J67" s="233"/>
      <c r="K67" s="246"/>
      <c r="L67" s="67">
        <f t="shared" ref="L67:L96" si="17">L66++J67-K67</f>
        <v>206690</v>
      </c>
    </row>
    <row r="68" spans="1:12" x14ac:dyDescent="0.3">
      <c r="A68" s="32"/>
      <c r="B68" s="230"/>
      <c r="C68" s="244"/>
      <c r="D68" s="236"/>
      <c r="E68" s="235"/>
      <c r="F68" s="54">
        <f t="shared" si="15"/>
        <v>982</v>
      </c>
      <c r="G68" s="240"/>
      <c r="H68" s="228"/>
      <c r="I68" s="62">
        <f t="shared" si="16"/>
        <v>0</v>
      </c>
      <c r="J68" s="247"/>
      <c r="K68" s="246"/>
      <c r="L68" s="67">
        <f t="shared" si="17"/>
        <v>206690</v>
      </c>
    </row>
    <row r="69" spans="1:12" x14ac:dyDescent="0.3">
      <c r="A69" s="32"/>
      <c r="B69" s="230"/>
      <c r="C69" s="244"/>
      <c r="D69" s="236"/>
      <c r="E69" s="235"/>
      <c r="F69" s="54">
        <f t="shared" si="15"/>
        <v>982</v>
      </c>
      <c r="G69" s="240"/>
      <c r="H69" s="226"/>
      <c r="I69" s="62">
        <f t="shared" si="16"/>
        <v>0</v>
      </c>
      <c r="J69" s="233"/>
      <c r="K69" s="246"/>
      <c r="L69" s="67">
        <f t="shared" si="17"/>
        <v>206690</v>
      </c>
    </row>
    <row r="70" spans="1:12" x14ac:dyDescent="0.3">
      <c r="A70" s="32"/>
      <c r="B70" s="230"/>
      <c r="C70" s="239"/>
      <c r="D70" s="236"/>
      <c r="E70" s="235"/>
      <c r="F70" s="54">
        <f t="shared" si="15"/>
        <v>982</v>
      </c>
      <c r="G70" s="240"/>
      <c r="H70" s="226"/>
      <c r="I70" s="62">
        <f t="shared" si="16"/>
        <v>0</v>
      </c>
      <c r="J70" s="247"/>
      <c r="K70" s="246"/>
      <c r="L70" s="67">
        <f t="shared" si="17"/>
        <v>206690</v>
      </c>
    </row>
    <row r="71" spans="1:12" x14ac:dyDescent="0.3">
      <c r="A71" s="32"/>
      <c r="B71" s="230"/>
      <c r="C71" s="244"/>
      <c r="D71" s="236"/>
      <c r="E71" s="231"/>
      <c r="F71" s="54">
        <f t="shared" si="15"/>
        <v>982</v>
      </c>
      <c r="G71" s="240"/>
      <c r="H71" s="226"/>
      <c r="I71" s="62">
        <f t="shared" si="16"/>
        <v>0</v>
      </c>
      <c r="J71" s="229"/>
      <c r="K71" s="246"/>
      <c r="L71" s="67">
        <f t="shared" si="17"/>
        <v>206690</v>
      </c>
    </row>
    <row r="72" spans="1:12" x14ac:dyDescent="0.3">
      <c r="A72" s="32"/>
      <c r="B72" s="230"/>
      <c r="C72" s="244"/>
      <c r="D72" s="236"/>
      <c r="E72" s="231"/>
      <c r="F72" s="54">
        <f t="shared" si="15"/>
        <v>982</v>
      </c>
      <c r="G72" s="240"/>
      <c r="H72" s="228"/>
      <c r="I72" s="62">
        <f t="shared" si="16"/>
        <v>0</v>
      </c>
      <c r="J72" s="229"/>
      <c r="K72" s="246"/>
      <c r="L72" s="67">
        <f t="shared" si="17"/>
        <v>206690</v>
      </c>
    </row>
    <row r="73" spans="1:12" x14ac:dyDescent="0.3">
      <c r="A73" s="32"/>
      <c r="B73" s="232"/>
      <c r="C73" s="245"/>
      <c r="D73" s="235"/>
      <c r="E73" s="83"/>
      <c r="F73" s="54">
        <f t="shared" si="15"/>
        <v>982</v>
      </c>
      <c r="G73" s="241"/>
      <c r="H73" s="226"/>
      <c r="I73" s="62">
        <f t="shared" si="16"/>
        <v>0</v>
      </c>
      <c r="J73" s="266"/>
      <c r="K73" s="246"/>
      <c r="L73" s="67">
        <f t="shared" si="17"/>
        <v>206690</v>
      </c>
    </row>
    <row r="74" spans="1:12" x14ac:dyDescent="0.3">
      <c r="A74" s="32"/>
      <c r="B74" s="232"/>
      <c r="C74" s="245"/>
      <c r="D74" s="235"/>
      <c r="E74" s="83"/>
      <c r="F74" s="54">
        <f t="shared" si="15"/>
        <v>982</v>
      </c>
      <c r="G74" s="240"/>
      <c r="H74" s="226"/>
      <c r="I74" s="62">
        <f t="shared" si="16"/>
        <v>0</v>
      </c>
      <c r="J74" s="248"/>
      <c r="K74" s="246"/>
      <c r="L74" s="67">
        <f t="shared" si="17"/>
        <v>206690</v>
      </c>
    </row>
    <row r="75" spans="1:12" x14ac:dyDescent="0.3">
      <c r="A75" s="32"/>
      <c r="B75" s="232"/>
      <c r="C75" s="244"/>
      <c r="D75" s="235"/>
      <c r="E75" s="83"/>
      <c r="F75" s="54">
        <f t="shared" si="15"/>
        <v>982</v>
      </c>
      <c r="G75" s="240"/>
      <c r="H75" s="226"/>
      <c r="I75" s="62">
        <f t="shared" si="16"/>
        <v>0</v>
      </c>
      <c r="J75" s="233"/>
      <c r="K75" s="246"/>
      <c r="L75" s="67">
        <f t="shared" si="17"/>
        <v>206690</v>
      </c>
    </row>
    <row r="76" spans="1:12" x14ac:dyDescent="0.3">
      <c r="A76" s="32"/>
      <c r="B76" s="230"/>
      <c r="C76" s="244"/>
      <c r="D76" s="235"/>
      <c r="E76" s="231"/>
      <c r="F76" s="54">
        <f t="shared" si="15"/>
        <v>982</v>
      </c>
      <c r="G76" s="240"/>
      <c r="H76" s="226"/>
      <c r="I76" s="62">
        <f t="shared" si="16"/>
        <v>0</v>
      </c>
      <c r="J76" s="247"/>
      <c r="K76" s="246"/>
      <c r="L76" s="67">
        <f t="shared" si="17"/>
        <v>206690</v>
      </c>
    </row>
    <row r="77" spans="1:12" x14ac:dyDescent="0.3">
      <c r="A77" s="32"/>
      <c r="B77" s="230"/>
      <c r="C77" s="244"/>
      <c r="D77" s="235"/>
      <c r="E77" s="231"/>
      <c r="F77" s="54">
        <f t="shared" si="15"/>
        <v>982</v>
      </c>
      <c r="G77" s="240"/>
      <c r="H77" s="226"/>
      <c r="I77" s="62">
        <f t="shared" si="16"/>
        <v>0</v>
      </c>
      <c r="J77" s="229"/>
      <c r="K77" s="246"/>
      <c r="L77" s="67">
        <f t="shared" si="17"/>
        <v>206690</v>
      </c>
    </row>
    <row r="78" spans="1:12" x14ac:dyDescent="0.3">
      <c r="A78" s="32"/>
      <c r="B78" s="230"/>
      <c r="C78" s="122"/>
      <c r="D78" s="235"/>
      <c r="E78" s="231"/>
      <c r="F78" s="54">
        <f t="shared" si="15"/>
        <v>982</v>
      </c>
      <c r="G78" s="240"/>
      <c r="H78" s="226"/>
      <c r="I78" s="62">
        <f t="shared" si="16"/>
        <v>0</v>
      </c>
      <c r="J78" s="229"/>
      <c r="K78" s="246"/>
      <c r="L78" s="67">
        <f t="shared" si="17"/>
        <v>206690</v>
      </c>
    </row>
    <row r="79" spans="1:12" x14ac:dyDescent="0.3">
      <c r="A79" s="32"/>
      <c r="B79" s="230"/>
      <c r="C79" s="267"/>
      <c r="D79" s="236"/>
      <c r="E79" s="231"/>
      <c r="F79" s="54">
        <f t="shared" si="15"/>
        <v>982</v>
      </c>
      <c r="G79" s="242"/>
      <c r="H79" s="226"/>
      <c r="I79" s="62">
        <f t="shared" si="16"/>
        <v>0</v>
      </c>
      <c r="J79" s="233"/>
      <c r="K79" s="246"/>
      <c r="L79" s="67">
        <f t="shared" si="17"/>
        <v>206690</v>
      </c>
    </row>
    <row r="80" spans="1:12" x14ac:dyDescent="0.3">
      <c r="A80" s="32"/>
      <c r="B80" s="230"/>
      <c r="C80" s="244"/>
      <c r="D80" s="236"/>
      <c r="E80" s="231"/>
      <c r="F80" s="54">
        <f t="shared" si="15"/>
        <v>982</v>
      </c>
      <c r="G80" s="242"/>
      <c r="H80" s="227"/>
      <c r="I80" s="62">
        <f t="shared" si="16"/>
        <v>0</v>
      </c>
      <c r="J80" s="233"/>
      <c r="K80" s="246"/>
      <c r="L80" s="67">
        <f t="shared" si="17"/>
        <v>206690</v>
      </c>
    </row>
    <row r="81" spans="1:12" x14ac:dyDescent="0.3">
      <c r="A81" s="32"/>
      <c r="B81" s="230"/>
      <c r="C81" s="244"/>
      <c r="D81" s="236"/>
      <c r="E81" s="231"/>
      <c r="F81" s="54">
        <f t="shared" si="15"/>
        <v>982</v>
      </c>
      <c r="G81" s="243"/>
      <c r="H81" s="227"/>
      <c r="I81" s="62">
        <f t="shared" si="16"/>
        <v>0</v>
      </c>
      <c r="J81" s="264"/>
      <c r="K81" s="246"/>
      <c r="L81" s="67">
        <f t="shared" si="17"/>
        <v>206690</v>
      </c>
    </row>
    <row r="82" spans="1:12" x14ac:dyDescent="0.3">
      <c r="A82" s="32"/>
      <c r="B82" s="230"/>
      <c r="C82" s="244"/>
      <c r="D82" s="236"/>
      <c r="E82" s="231"/>
      <c r="F82" s="54">
        <f t="shared" si="15"/>
        <v>982</v>
      </c>
      <c r="G82" s="223"/>
      <c r="H82" s="221"/>
      <c r="I82" s="62">
        <f t="shared" si="16"/>
        <v>0</v>
      </c>
      <c r="J82" s="229"/>
      <c r="K82" s="246"/>
      <c r="L82" s="67">
        <f t="shared" si="17"/>
        <v>206690</v>
      </c>
    </row>
    <row r="83" spans="1:12" x14ac:dyDescent="0.3">
      <c r="A83" s="32"/>
      <c r="B83" s="222"/>
      <c r="C83" s="245"/>
      <c r="D83" s="235"/>
      <c r="E83" s="231"/>
      <c r="F83" s="54">
        <f t="shared" si="15"/>
        <v>982</v>
      </c>
      <c r="G83" s="223"/>
      <c r="H83" s="227"/>
      <c r="I83" s="62">
        <f t="shared" si="16"/>
        <v>0</v>
      </c>
      <c r="J83" s="229"/>
      <c r="K83" s="246"/>
      <c r="L83" s="67">
        <f t="shared" si="17"/>
        <v>206690</v>
      </c>
    </row>
    <row r="84" spans="1:12" x14ac:dyDescent="0.3">
      <c r="A84" s="32"/>
      <c r="B84" s="230"/>
      <c r="C84" s="245"/>
      <c r="D84" s="235"/>
      <c r="E84" s="231"/>
      <c r="F84" s="54">
        <f t="shared" si="15"/>
        <v>982</v>
      </c>
      <c r="G84" s="223"/>
      <c r="H84" s="227"/>
      <c r="I84" s="62">
        <f t="shared" si="16"/>
        <v>0</v>
      </c>
      <c r="J84" s="247"/>
      <c r="K84" s="246"/>
      <c r="L84" s="67">
        <f t="shared" si="17"/>
        <v>206690</v>
      </c>
    </row>
    <row r="85" spans="1:12" x14ac:dyDescent="0.3">
      <c r="A85" s="32"/>
      <c r="B85" s="230"/>
      <c r="C85" s="245"/>
      <c r="D85" s="235"/>
      <c r="E85" s="224"/>
      <c r="F85" s="54">
        <f t="shared" si="15"/>
        <v>982</v>
      </c>
      <c r="G85" s="223"/>
      <c r="H85" s="227"/>
      <c r="I85" s="62">
        <f t="shared" si="16"/>
        <v>0</v>
      </c>
      <c r="J85" s="65"/>
      <c r="K85" s="246"/>
      <c r="L85" s="67">
        <f t="shared" si="17"/>
        <v>206690</v>
      </c>
    </row>
    <row r="86" spans="1:12" x14ac:dyDescent="0.3">
      <c r="A86" s="32"/>
      <c r="B86" s="230"/>
      <c r="C86" s="245"/>
      <c r="D86" s="231"/>
      <c r="E86" s="231"/>
      <c r="F86" s="54">
        <f t="shared" si="15"/>
        <v>982</v>
      </c>
      <c r="G86" s="223"/>
      <c r="H86" s="227"/>
      <c r="I86" s="62">
        <f t="shared" si="16"/>
        <v>0</v>
      </c>
      <c r="J86" s="229"/>
      <c r="K86" s="246"/>
      <c r="L86" s="67">
        <f t="shared" si="17"/>
        <v>206690</v>
      </c>
    </row>
    <row r="87" spans="1:12" x14ac:dyDescent="0.3">
      <c r="A87" s="32"/>
      <c r="B87" s="222"/>
      <c r="C87" s="244"/>
      <c r="D87" s="235"/>
      <c r="E87" s="231"/>
      <c r="F87" s="54">
        <f t="shared" si="15"/>
        <v>982</v>
      </c>
      <c r="G87" s="223"/>
      <c r="H87" s="227"/>
      <c r="I87" s="62">
        <f t="shared" si="16"/>
        <v>0</v>
      </c>
      <c r="J87" s="233"/>
      <c r="K87" s="246"/>
      <c r="L87" s="67">
        <f t="shared" si="17"/>
        <v>206690</v>
      </c>
    </row>
    <row r="88" spans="1:12" x14ac:dyDescent="0.3">
      <c r="A88" s="32"/>
      <c r="B88" s="230"/>
      <c r="C88" s="244"/>
      <c r="D88" s="235"/>
      <c r="E88" s="83"/>
      <c r="F88" s="54">
        <f t="shared" si="15"/>
        <v>982</v>
      </c>
      <c r="G88" s="223"/>
      <c r="H88" s="227"/>
      <c r="I88" s="62">
        <f t="shared" si="16"/>
        <v>0</v>
      </c>
      <c r="J88" s="248"/>
      <c r="K88" s="246"/>
      <c r="L88" s="67">
        <f t="shared" si="17"/>
        <v>206690</v>
      </c>
    </row>
    <row r="89" spans="1:12" x14ac:dyDescent="0.3">
      <c r="A89" s="32"/>
      <c r="B89" s="230"/>
      <c r="C89" s="245"/>
      <c r="D89" s="235"/>
      <c r="E89" s="39"/>
      <c r="F89" s="54">
        <f t="shared" si="15"/>
        <v>982</v>
      </c>
      <c r="G89" s="223"/>
      <c r="H89" s="227"/>
      <c r="I89" s="62">
        <f t="shared" si="16"/>
        <v>0</v>
      </c>
      <c r="J89" s="248"/>
      <c r="K89" s="246"/>
      <c r="L89" s="67">
        <f t="shared" si="17"/>
        <v>206690</v>
      </c>
    </row>
    <row r="90" spans="1:12" x14ac:dyDescent="0.3">
      <c r="A90" s="32"/>
      <c r="B90" s="230"/>
      <c r="C90" s="245"/>
      <c r="D90" s="237"/>
      <c r="E90" s="231"/>
      <c r="F90" s="54">
        <f t="shared" si="15"/>
        <v>982</v>
      </c>
      <c r="G90" s="223"/>
      <c r="H90" s="227"/>
      <c r="I90" s="62">
        <f t="shared" si="16"/>
        <v>0</v>
      </c>
      <c r="J90" s="248"/>
      <c r="K90" s="246"/>
      <c r="L90" s="67">
        <f t="shared" si="17"/>
        <v>206690</v>
      </c>
    </row>
    <row r="91" spans="1:12" x14ac:dyDescent="0.3">
      <c r="A91" s="32"/>
      <c r="B91" s="230"/>
      <c r="C91" s="244"/>
      <c r="D91" s="237"/>
      <c r="E91" s="83"/>
      <c r="F91" s="54">
        <f t="shared" si="15"/>
        <v>982</v>
      </c>
      <c r="G91" s="223"/>
      <c r="H91" s="227"/>
      <c r="I91" s="62">
        <f t="shared" si="16"/>
        <v>0</v>
      </c>
      <c r="J91" s="248"/>
      <c r="K91" s="246"/>
      <c r="L91" s="67">
        <f t="shared" si="17"/>
        <v>206690</v>
      </c>
    </row>
    <row r="92" spans="1:12" x14ac:dyDescent="0.3">
      <c r="A92" s="32"/>
      <c r="B92" s="232"/>
      <c r="C92" s="122"/>
      <c r="D92" s="118"/>
      <c r="E92" s="83"/>
      <c r="F92" s="54">
        <f t="shared" si="15"/>
        <v>982</v>
      </c>
      <c r="G92" s="223"/>
      <c r="H92" s="227"/>
      <c r="I92" s="62">
        <f t="shared" si="16"/>
        <v>0</v>
      </c>
      <c r="J92" s="229"/>
      <c r="K92" s="246"/>
      <c r="L92" s="67">
        <f t="shared" si="17"/>
        <v>206690</v>
      </c>
    </row>
    <row r="93" spans="1:12" x14ac:dyDescent="0.3">
      <c r="A93" s="32"/>
      <c r="B93" s="230"/>
      <c r="C93" s="244"/>
      <c r="D93" s="235"/>
      <c r="E93" s="231"/>
      <c r="F93" s="54">
        <f t="shared" si="15"/>
        <v>982</v>
      </c>
      <c r="G93" s="223"/>
      <c r="H93" s="227"/>
      <c r="I93" s="62">
        <f t="shared" si="16"/>
        <v>0</v>
      </c>
      <c r="J93" s="229"/>
      <c r="K93" s="246"/>
      <c r="L93" s="67">
        <f t="shared" si="17"/>
        <v>206690</v>
      </c>
    </row>
    <row r="94" spans="1:12" x14ac:dyDescent="0.3">
      <c r="A94" s="32"/>
      <c r="B94" s="230"/>
      <c r="C94" s="122"/>
      <c r="D94" s="235"/>
      <c r="E94" s="231"/>
      <c r="F94" s="54">
        <f t="shared" si="15"/>
        <v>982</v>
      </c>
      <c r="G94" s="223"/>
      <c r="H94" s="227"/>
      <c r="I94" s="62">
        <f t="shared" si="16"/>
        <v>0</v>
      </c>
      <c r="J94" s="65"/>
      <c r="K94" s="246"/>
      <c r="L94" s="67">
        <f t="shared" si="17"/>
        <v>206690</v>
      </c>
    </row>
    <row r="95" spans="1:12" x14ac:dyDescent="0.3">
      <c r="A95" s="32"/>
      <c r="B95" s="230"/>
      <c r="C95" s="74"/>
      <c r="D95" s="71"/>
      <c r="E95" s="231"/>
      <c r="F95" s="54">
        <f t="shared" si="15"/>
        <v>982</v>
      </c>
      <c r="G95" s="240"/>
      <c r="H95" s="226"/>
      <c r="I95" s="62">
        <f t="shared" si="16"/>
        <v>0</v>
      </c>
      <c r="J95" s="229"/>
      <c r="K95" s="81"/>
      <c r="L95" s="67">
        <f t="shared" si="17"/>
        <v>206690</v>
      </c>
    </row>
    <row r="96" spans="1:12" x14ac:dyDescent="0.3">
      <c r="A96" s="32"/>
      <c r="B96" s="230"/>
      <c r="C96" s="75"/>
      <c r="D96" s="69"/>
      <c r="E96" s="64"/>
      <c r="F96" s="54">
        <f t="shared" si="15"/>
        <v>982</v>
      </c>
      <c r="G96" s="240"/>
      <c r="H96" s="61"/>
      <c r="I96" s="62">
        <f t="shared" si="16"/>
        <v>0</v>
      </c>
      <c r="J96" s="229"/>
      <c r="K96" s="77"/>
      <c r="L96" s="67">
        <f t="shared" si="17"/>
        <v>206690</v>
      </c>
    </row>
    <row r="97" spans="1:12" x14ac:dyDescent="0.3">
      <c r="A97" s="32"/>
      <c r="B97" s="230"/>
      <c r="C97" s="244"/>
      <c r="D97" s="236"/>
      <c r="E97" s="231"/>
      <c r="F97" s="54">
        <f>+F96+C97+D97-E97</f>
        <v>982</v>
      </c>
      <c r="G97" s="240"/>
      <c r="H97" s="226">
        <v>0</v>
      </c>
      <c r="I97" s="62">
        <f>I96++G97-H97</f>
        <v>0</v>
      </c>
      <c r="J97" s="233"/>
      <c r="K97" s="246"/>
      <c r="L97" s="67">
        <f>L96++J97-K97</f>
        <v>206690</v>
      </c>
    </row>
    <row r="98" spans="1:12" x14ac:dyDescent="0.3">
      <c r="A98" s="32"/>
      <c r="B98" s="230"/>
      <c r="C98" s="244"/>
      <c r="D98" s="236"/>
      <c r="E98" s="231"/>
      <c r="F98" s="54">
        <f t="shared" ref="F98:F103" si="18">+F97+C98+D98-E98</f>
        <v>982</v>
      </c>
      <c r="G98" s="241"/>
      <c r="H98" s="226"/>
      <c r="I98" s="62">
        <f t="shared" ref="I98:I103" si="19">I97++G98-H98</f>
        <v>0</v>
      </c>
      <c r="J98" s="233"/>
      <c r="K98" s="246"/>
      <c r="L98" s="67">
        <f t="shared" ref="L98:L103" si="20">L97++J98-K98</f>
        <v>206690</v>
      </c>
    </row>
    <row r="99" spans="1:12" x14ac:dyDescent="0.3">
      <c r="A99" s="32"/>
      <c r="B99" s="234"/>
      <c r="C99" s="267"/>
      <c r="D99" s="236"/>
      <c r="E99" s="235"/>
      <c r="F99" s="54">
        <f t="shared" si="18"/>
        <v>982</v>
      </c>
      <c r="G99" s="240"/>
      <c r="H99" s="228"/>
      <c r="I99" s="62">
        <f t="shared" si="19"/>
        <v>0</v>
      </c>
      <c r="J99" s="247"/>
      <c r="K99" s="246"/>
      <c r="L99" s="67">
        <f t="shared" si="20"/>
        <v>206690</v>
      </c>
    </row>
    <row r="100" spans="1:12" x14ac:dyDescent="0.3">
      <c r="A100" s="32"/>
      <c r="B100" s="222"/>
      <c r="C100" s="244"/>
      <c r="D100" s="236"/>
      <c r="E100" s="235"/>
      <c r="F100" s="54">
        <f t="shared" si="18"/>
        <v>982</v>
      </c>
      <c r="G100" s="240"/>
      <c r="H100" s="226"/>
      <c r="I100" s="62">
        <f t="shared" si="19"/>
        <v>0</v>
      </c>
      <c r="J100" s="233"/>
      <c r="K100" s="246"/>
      <c r="L100" s="67">
        <f t="shared" si="20"/>
        <v>206690</v>
      </c>
    </row>
    <row r="101" spans="1:12" x14ac:dyDescent="0.3">
      <c r="A101" s="32"/>
      <c r="B101" s="230"/>
      <c r="C101" s="239"/>
      <c r="D101" s="236"/>
      <c r="E101" s="235"/>
      <c r="F101" s="54">
        <f t="shared" si="18"/>
        <v>982</v>
      </c>
      <c r="G101" s="240"/>
      <c r="H101" s="226"/>
      <c r="I101" s="62">
        <f t="shared" si="19"/>
        <v>0</v>
      </c>
      <c r="J101" s="247"/>
      <c r="K101" s="246"/>
      <c r="L101" s="67">
        <f t="shared" si="20"/>
        <v>206690</v>
      </c>
    </row>
    <row r="102" spans="1:12" x14ac:dyDescent="0.3">
      <c r="A102" s="32"/>
      <c r="B102" s="230"/>
      <c r="C102" s="244"/>
      <c r="D102" s="236"/>
      <c r="E102" s="231"/>
      <c r="F102" s="54">
        <f t="shared" si="18"/>
        <v>982</v>
      </c>
      <c r="G102" s="240"/>
      <c r="H102" s="226"/>
      <c r="I102" s="62">
        <f t="shared" si="19"/>
        <v>0</v>
      </c>
      <c r="J102" s="229"/>
      <c r="K102" s="246"/>
      <c r="L102" s="67">
        <f t="shared" si="20"/>
        <v>206690</v>
      </c>
    </row>
    <row r="103" spans="1:12" x14ac:dyDescent="0.3">
      <c r="A103" s="32"/>
      <c r="B103" s="232"/>
      <c r="C103" s="244"/>
      <c r="D103" s="236"/>
      <c r="E103" s="231"/>
      <c r="F103" s="54">
        <f t="shared" si="18"/>
        <v>982</v>
      </c>
      <c r="G103" s="240"/>
      <c r="H103" s="228"/>
      <c r="I103" s="62">
        <f t="shared" si="19"/>
        <v>0</v>
      </c>
      <c r="J103" s="229"/>
      <c r="K103" s="246"/>
      <c r="L103" s="67">
        <f t="shared" si="20"/>
        <v>206690</v>
      </c>
    </row>
    <row r="104" spans="1:12" x14ac:dyDescent="0.3">
      <c r="A104" s="32"/>
      <c r="B104" s="230"/>
      <c r="C104" s="244"/>
      <c r="D104" s="236"/>
      <c r="E104" s="231"/>
      <c r="F104" s="54">
        <f>+F103+C104+D104-E104</f>
        <v>982</v>
      </c>
      <c r="G104" s="240"/>
      <c r="H104" s="226">
        <v>0</v>
      </c>
      <c r="I104" s="62">
        <f>I103++G104-H104</f>
        <v>0</v>
      </c>
      <c r="J104" s="233"/>
      <c r="K104" s="246"/>
      <c r="L104" s="67">
        <f>L103++J104-K104</f>
        <v>206690</v>
      </c>
    </row>
    <row r="105" spans="1:12" x14ac:dyDescent="0.3">
      <c r="A105" s="32"/>
      <c r="B105" s="230"/>
      <c r="C105" s="244"/>
      <c r="D105" s="236"/>
      <c r="E105" s="231"/>
      <c r="F105" s="54">
        <f t="shared" ref="F105:F115" si="21">+F104+C105+D105-E105</f>
        <v>982</v>
      </c>
      <c r="G105" s="241"/>
      <c r="H105" s="226"/>
      <c r="I105" s="62">
        <f t="shared" ref="I105:I115" si="22">I104++G105-H105</f>
        <v>0</v>
      </c>
      <c r="J105" s="233"/>
      <c r="K105" s="246"/>
      <c r="L105" s="67">
        <f t="shared" ref="L105:L115" si="23">L104++J105-K105</f>
        <v>206690</v>
      </c>
    </row>
    <row r="106" spans="1:12" x14ac:dyDescent="0.3">
      <c r="A106" s="32"/>
      <c r="B106" s="230"/>
      <c r="C106" s="267"/>
      <c r="D106" s="236"/>
      <c r="E106" s="235"/>
      <c r="F106" s="54">
        <f t="shared" si="21"/>
        <v>982</v>
      </c>
      <c r="G106" s="240"/>
      <c r="H106" s="228"/>
      <c r="I106" s="62">
        <f t="shared" si="22"/>
        <v>0</v>
      </c>
      <c r="J106" s="247"/>
      <c r="K106" s="246"/>
      <c r="L106" s="67">
        <f t="shared" si="23"/>
        <v>206690</v>
      </c>
    </row>
    <row r="107" spans="1:12" x14ac:dyDescent="0.3">
      <c r="A107" s="32"/>
      <c r="B107" s="230"/>
      <c r="C107" s="244"/>
      <c r="D107" s="236"/>
      <c r="E107" s="235"/>
      <c r="F107" s="54">
        <f t="shared" si="21"/>
        <v>982</v>
      </c>
      <c r="G107" s="240"/>
      <c r="H107" s="226"/>
      <c r="I107" s="62">
        <f t="shared" si="22"/>
        <v>0</v>
      </c>
      <c r="J107" s="233"/>
      <c r="K107" s="246"/>
      <c r="L107" s="67">
        <f t="shared" si="23"/>
        <v>206690</v>
      </c>
    </row>
    <row r="108" spans="1:12" x14ac:dyDescent="0.3">
      <c r="A108" s="32"/>
      <c r="B108" s="230"/>
      <c r="C108" s="239"/>
      <c r="D108" s="236"/>
      <c r="E108" s="235"/>
      <c r="F108" s="54">
        <f t="shared" si="21"/>
        <v>982</v>
      </c>
      <c r="G108" s="240"/>
      <c r="H108" s="226"/>
      <c r="I108" s="62">
        <f t="shared" si="22"/>
        <v>0</v>
      </c>
      <c r="J108" s="247"/>
      <c r="K108" s="246"/>
      <c r="L108" s="67">
        <f t="shared" si="23"/>
        <v>206690</v>
      </c>
    </row>
    <row r="109" spans="1:12" x14ac:dyDescent="0.3">
      <c r="A109" s="32"/>
      <c r="B109" s="230"/>
      <c r="C109" s="244"/>
      <c r="D109" s="236"/>
      <c r="E109" s="231"/>
      <c r="F109" s="54">
        <f t="shared" si="21"/>
        <v>982</v>
      </c>
      <c r="G109" s="240"/>
      <c r="H109" s="226"/>
      <c r="I109" s="62">
        <f t="shared" si="22"/>
        <v>0</v>
      </c>
      <c r="J109" s="229"/>
      <c r="K109" s="246"/>
      <c r="L109" s="67">
        <f t="shared" si="23"/>
        <v>206690</v>
      </c>
    </row>
    <row r="110" spans="1:12" x14ac:dyDescent="0.3">
      <c r="A110" s="32"/>
      <c r="B110" s="234"/>
      <c r="C110" s="244"/>
      <c r="D110" s="236"/>
      <c r="E110" s="231"/>
      <c r="F110" s="54">
        <f t="shared" si="21"/>
        <v>982</v>
      </c>
      <c r="G110" s="240"/>
      <c r="H110" s="228"/>
      <c r="I110" s="62">
        <f t="shared" si="22"/>
        <v>0</v>
      </c>
      <c r="J110" s="229"/>
      <c r="K110" s="246"/>
      <c r="L110" s="67">
        <f t="shared" si="23"/>
        <v>206690</v>
      </c>
    </row>
    <row r="111" spans="1:12" x14ac:dyDescent="0.3">
      <c r="A111" s="32"/>
      <c r="B111" s="222"/>
      <c r="C111" s="245"/>
      <c r="D111" s="235"/>
      <c r="E111" s="224"/>
      <c r="F111" s="54">
        <f t="shared" si="21"/>
        <v>982</v>
      </c>
      <c r="G111" s="241"/>
      <c r="H111" s="226"/>
      <c r="I111" s="62">
        <f t="shared" si="22"/>
        <v>0</v>
      </c>
      <c r="J111" s="266"/>
      <c r="K111" s="246"/>
      <c r="L111" s="67">
        <f t="shared" si="23"/>
        <v>206690</v>
      </c>
    </row>
    <row r="112" spans="1:12" x14ac:dyDescent="0.3">
      <c r="A112" s="32"/>
      <c r="B112" s="222"/>
      <c r="C112" s="245"/>
      <c r="D112" s="235"/>
      <c r="E112" s="224"/>
      <c r="F112" s="54">
        <f t="shared" si="21"/>
        <v>982</v>
      </c>
      <c r="G112" s="240"/>
      <c r="H112" s="226"/>
      <c r="I112" s="62">
        <f t="shared" si="22"/>
        <v>0</v>
      </c>
      <c r="J112" s="248"/>
      <c r="K112" s="269"/>
      <c r="L112" s="67">
        <f t="shared" si="23"/>
        <v>206690</v>
      </c>
    </row>
    <row r="113" spans="1:12" x14ac:dyDescent="0.3">
      <c r="A113" s="32"/>
      <c r="B113" s="230"/>
      <c r="C113" s="244"/>
      <c r="D113" s="235"/>
      <c r="E113" s="231"/>
      <c r="F113" s="54">
        <f t="shared" si="21"/>
        <v>982</v>
      </c>
      <c r="G113" s="240"/>
      <c r="H113" s="226"/>
      <c r="I113" s="62">
        <f t="shared" si="22"/>
        <v>0</v>
      </c>
      <c r="J113" s="233"/>
      <c r="K113" s="246"/>
      <c r="L113" s="67">
        <f t="shared" si="23"/>
        <v>206690</v>
      </c>
    </row>
    <row r="114" spans="1:12" x14ac:dyDescent="0.3">
      <c r="A114" s="32"/>
      <c r="B114" s="232"/>
      <c r="C114" s="244"/>
      <c r="D114" s="235"/>
      <c r="E114" s="231"/>
      <c r="F114" s="54">
        <f t="shared" si="21"/>
        <v>982</v>
      </c>
      <c r="G114" s="240"/>
      <c r="H114" s="226"/>
      <c r="I114" s="62">
        <f t="shared" si="22"/>
        <v>0</v>
      </c>
      <c r="J114" s="247"/>
      <c r="K114" s="246"/>
      <c r="L114" s="67">
        <f t="shared" si="23"/>
        <v>206690</v>
      </c>
    </row>
    <row r="115" spans="1:12" x14ac:dyDescent="0.3">
      <c r="A115" s="32"/>
      <c r="B115" s="232"/>
      <c r="C115" s="244"/>
      <c r="D115" s="235"/>
      <c r="E115" s="231"/>
      <c r="F115" s="54">
        <f t="shared" si="21"/>
        <v>982</v>
      </c>
      <c r="G115" s="240"/>
      <c r="H115" s="226"/>
      <c r="I115" s="62">
        <f t="shared" si="22"/>
        <v>0</v>
      </c>
      <c r="J115" s="229"/>
      <c r="K115" s="246"/>
      <c r="L115" s="67">
        <f t="shared" si="23"/>
        <v>206690</v>
      </c>
    </row>
    <row r="116" spans="1:12" x14ac:dyDescent="0.3">
      <c r="A116" s="32"/>
      <c r="B116" s="230"/>
      <c r="C116" s="244"/>
      <c r="D116" s="236"/>
      <c r="E116" s="231"/>
      <c r="F116" s="54">
        <f>+F115+C116+D116-E116</f>
        <v>982</v>
      </c>
      <c r="G116" s="240"/>
      <c r="H116" s="226">
        <v>0</v>
      </c>
      <c r="I116" s="62">
        <f>I115++G116-H116</f>
        <v>0</v>
      </c>
      <c r="J116" s="233"/>
      <c r="K116" s="246"/>
      <c r="L116" s="67">
        <f>L115++J116-K116</f>
        <v>206690</v>
      </c>
    </row>
    <row r="117" spans="1:12" x14ac:dyDescent="0.3">
      <c r="A117" s="32"/>
      <c r="B117" s="230"/>
      <c r="C117" s="244"/>
      <c r="D117" s="236"/>
      <c r="E117" s="231"/>
      <c r="F117" s="54">
        <f t="shared" ref="F117:F129" si="24">+F116+C117+D117-E117</f>
        <v>982</v>
      </c>
      <c r="G117" s="241"/>
      <c r="H117" s="226"/>
      <c r="I117" s="62">
        <f t="shared" ref="I117:I129" si="25">I116++G117-H117</f>
        <v>0</v>
      </c>
      <c r="J117" s="233"/>
      <c r="K117" s="246"/>
      <c r="L117" s="67">
        <f t="shared" ref="L117:L129" si="26">L116++J117-K117</f>
        <v>206690</v>
      </c>
    </row>
    <row r="118" spans="1:12" x14ac:dyDescent="0.3">
      <c r="A118" s="32"/>
      <c r="B118" s="232"/>
      <c r="C118" s="267"/>
      <c r="D118" s="236"/>
      <c r="E118" s="235"/>
      <c r="F118" s="54">
        <f t="shared" si="24"/>
        <v>982</v>
      </c>
      <c r="G118" s="240"/>
      <c r="H118" s="228"/>
      <c r="I118" s="62">
        <f t="shared" si="25"/>
        <v>0</v>
      </c>
      <c r="J118" s="247"/>
      <c r="K118" s="246"/>
      <c r="L118" s="67">
        <f t="shared" si="26"/>
        <v>206690</v>
      </c>
    </row>
    <row r="119" spans="1:12" x14ac:dyDescent="0.3">
      <c r="A119" s="32"/>
      <c r="B119" s="230"/>
      <c r="C119" s="244"/>
      <c r="D119" s="236"/>
      <c r="E119" s="235"/>
      <c r="F119" s="54">
        <f t="shared" si="24"/>
        <v>982</v>
      </c>
      <c r="G119" s="240"/>
      <c r="H119" s="226"/>
      <c r="I119" s="62">
        <f t="shared" si="25"/>
        <v>0</v>
      </c>
      <c r="J119" s="233"/>
      <c r="K119" s="246"/>
      <c r="L119" s="67">
        <f t="shared" si="26"/>
        <v>206690</v>
      </c>
    </row>
    <row r="120" spans="1:12" x14ac:dyDescent="0.3">
      <c r="A120" s="32"/>
      <c r="B120" s="232"/>
      <c r="C120" s="239"/>
      <c r="D120" s="236"/>
      <c r="E120" s="235"/>
      <c r="F120" s="54">
        <f t="shared" si="24"/>
        <v>982</v>
      </c>
      <c r="G120" s="240"/>
      <c r="H120" s="226"/>
      <c r="I120" s="62">
        <f t="shared" si="25"/>
        <v>0</v>
      </c>
      <c r="J120" s="247"/>
      <c r="K120" s="246"/>
      <c r="L120" s="67">
        <f t="shared" si="26"/>
        <v>206690</v>
      </c>
    </row>
    <row r="121" spans="1:12" x14ac:dyDescent="0.3">
      <c r="A121" s="32"/>
      <c r="B121" s="230"/>
      <c r="C121" s="244"/>
      <c r="D121" s="236"/>
      <c r="E121" s="231"/>
      <c r="F121" s="54">
        <f t="shared" si="24"/>
        <v>982</v>
      </c>
      <c r="G121" s="240"/>
      <c r="H121" s="226"/>
      <c r="I121" s="62">
        <f t="shared" si="25"/>
        <v>0</v>
      </c>
      <c r="J121" s="229"/>
      <c r="K121" s="246"/>
      <c r="L121" s="67">
        <f t="shared" si="26"/>
        <v>206690</v>
      </c>
    </row>
    <row r="122" spans="1:12" x14ac:dyDescent="0.3">
      <c r="A122" s="32"/>
      <c r="B122" s="230"/>
      <c r="C122" s="244"/>
      <c r="D122" s="236"/>
      <c r="E122" s="231"/>
      <c r="F122" s="54">
        <f t="shared" si="24"/>
        <v>982</v>
      </c>
      <c r="G122" s="240"/>
      <c r="H122" s="228"/>
      <c r="I122" s="62">
        <f t="shared" si="25"/>
        <v>0</v>
      </c>
      <c r="J122" s="229"/>
      <c r="K122" s="246"/>
      <c r="L122" s="67">
        <f t="shared" si="26"/>
        <v>206690</v>
      </c>
    </row>
    <row r="123" spans="1:12" x14ac:dyDescent="0.3">
      <c r="A123" s="32"/>
      <c r="B123" s="232"/>
      <c r="C123" s="245"/>
      <c r="D123" s="235"/>
      <c r="E123" s="231"/>
      <c r="F123" s="54">
        <f t="shared" si="24"/>
        <v>982</v>
      </c>
      <c r="G123" s="241"/>
      <c r="H123" s="226"/>
      <c r="I123" s="62">
        <f t="shared" si="25"/>
        <v>0</v>
      </c>
      <c r="J123" s="266"/>
      <c r="K123" s="246"/>
      <c r="L123" s="67">
        <f t="shared" si="26"/>
        <v>206690</v>
      </c>
    </row>
    <row r="124" spans="1:12" x14ac:dyDescent="0.3">
      <c r="A124" s="32"/>
      <c r="B124" s="230"/>
      <c r="C124" s="245"/>
      <c r="D124" s="235"/>
      <c r="E124" s="231"/>
      <c r="F124" s="54">
        <f t="shared" si="24"/>
        <v>982</v>
      </c>
      <c r="G124" s="240"/>
      <c r="H124" s="226"/>
      <c r="I124" s="62">
        <f t="shared" si="25"/>
        <v>0</v>
      </c>
      <c r="J124" s="248"/>
      <c r="K124" s="269"/>
      <c r="L124" s="67">
        <f t="shared" si="26"/>
        <v>206690</v>
      </c>
    </row>
    <row r="125" spans="1:12" x14ac:dyDescent="0.3">
      <c r="A125" s="32"/>
      <c r="B125" s="232"/>
      <c r="C125" s="244"/>
      <c r="D125" s="235"/>
      <c r="E125" s="231"/>
      <c r="F125" s="54">
        <f t="shared" si="24"/>
        <v>982</v>
      </c>
      <c r="G125" s="240"/>
      <c r="H125" s="226"/>
      <c r="I125" s="62">
        <f t="shared" si="25"/>
        <v>0</v>
      </c>
      <c r="J125" s="233"/>
      <c r="K125" s="246"/>
      <c r="L125" s="67">
        <f t="shared" si="26"/>
        <v>206690</v>
      </c>
    </row>
    <row r="126" spans="1:12" x14ac:dyDescent="0.3">
      <c r="A126" s="32"/>
      <c r="B126" s="234"/>
      <c r="C126" s="244"/>
      <c r="D126" s="235"/>
      <c r="E126" s="39"/>
      <c r="F126" s="54">
        <f t="shared" si="24"/>
        <v>982</v>
      </c>
      <c r="G126" s="240"/>
      <c r="H126" s="226"/>
      <c r="I126" s="62">
        <f t="shared" si="25"/>
        <v>0</v>
      </c>
      <c r="J126" s="247"/>
      <c r="K126" s="246"/>
      <c r="L126" s="67">
        <f t="shared" si="26"/>
        <v>206690</v>
      </c>
    </row>
    <row r="127" spans="1:12" x14ac:dyDescent="0.3">
      <c r="A127" s="32"/>
      <c r="B127" s="232"/>
      <c r="C127" s="244"/>
      <c r="D127" s="235"/>
      <c r="E127" s="83"/>
      <c r="F127" s="54">
        <f t="shared" si="24"/>
        <v>982</v>
      </c>
      <c r="G127" s="240"/>
      <c r="H127" s="226"/>
      <c r="I127" s="62">
        <f t="shared" si="25"/>
        <v>0</v>
      </c>
      <c r="J127" s="229"/>
      <c r="K127" s="246"/>
      <c r="L127" s="67">
        <f t="shared" si="26"/>
        <v>206690</v>
      </c>
    </row>
    <row r="128" spans="1:12" x14ac:dyDescent="0.3">
      <c r="A128" s="32"/>
      <c r="B128" s="45"/>
      <c r="C128" s="74"/>
      <c r="D128" s="235"/>
      <c r="E128" s="231"/>
      <c r="F128" s="54">
        <f t="shared" si="24"/>
        <v>982</v>
      </c>
      <c r="G128" s="240"/>
      <c r="H128" s="226"/>
      <c r="I128" s="62">
        <f t="shared" si="25"/>
        <v>0</v>
      </c>
      <c r="J128" s="229"/>
      <c r="K128" s="246"/>
      <c r="L128" s="67">
        <f t="shared" si="26"/>
        <v>206690</v>
      </c>
    </row>
    <row r="129" spans="1:12" x14ac:dyDescent="0.3">
      <c r="A129" s="32"/>
      <c r="B129" s="230"/>
      <c r="C129" s="267"/>
      <c r="D129" s="236"/>
      <c r="E129" s="231"/>
      <c r="F129" s="54">
        <f t="shared" si="24"/>
        <v>982</v>
      </c>
      <c r="G129" s="242"/>
      <c r="H129" s="226"/>
      <c r="I129" s="62">
        <f t="shared" si="25"/>
        <v>0</v>
      </c>
      <c r="J129" s="233"/>
      <c r="K129" s="246"/>
      <c r="L129" s="67">
        <f t="shared" si="26"/>
        <v>206690</v>
      </c>
    </row>
    <row r="130" spans="1:12" x14ac:dyDescent="0.3">
      <c r="A130" s="32"/>
      <c r="B130" s="230"/>
      <c r="C130" s="244"/>
      <c r="D130" s="236"/>
      <c r="E130" s="231"/>
      <c r="F130" s="54">
        <f>+F129+C130+D130-E130</f>
        <v>982</v>
      </c>
      <c r="G130" s="240"/>
      <c r="H130" s="226">
        <v>0</v>
      </c>
      <c r="I130" s="62">
        <f>I129++G130-H130</f>
        <v>0</v>
      </c>
      <c r="J130" s="233"/>
      <c r="K130" s="246"/>
      <c r="L130" s="67">
        <f>L129++J130-K130</f>
        <v>206690</v>
      </c>
    </row>
    <row r="131" spans="1:12" x14ac:dyDescent="0.3">
      <c r="A131" s="32"/>
      <c r="B131" s="230"/>
      <c r="C131" s="244"/>
      <c r="D131" s="236"/>
      <c r="E131" s="231"/>
      <c r="F131" s="54">
        <f t="shared" ref="F131:F146" si="27">+F130+C131+D131-E131</f>
        <v>982</v>
      </c>
      <c r="G131" s="241"/>
      <c r="H131" s="226"/>
      <c r="I131" s="62">
        <f t="shared" ref="I131:I146" si="28">I130++G131-H131</f>
        <v>0</v>
      </c>
      <c r="J131" s="233"/>
      <c r="K131" s="246"/>
      <c r="L131" s="67">
        <f t="shared" ref="L131:L146" si="29">L130++J131-K131</f>
        <v>206690</v>
      </c>
    </row>
    <row r="132" spans="1:12" x14ac:dyDescent="0.3">
      <c r="A132" s="32"/>
      <c r="B132" s="230"/>
      <c r="C132" s="267"/>
      <c r="D132" s="236"/>
      <c r="E132" s="235"/>
      <c r="F132" s="54">
        <f t="shared" si="27"/>
        <v>982</v>
      </c>
      <c r="G132" s="240"/>
      <c r="H132" s="228"/>
      <c r="I132" s="62">
        <f t="shared" si="28"/>
        <v>0</v>
      </c>
      <c r="J132" s="247"/>
      <c r="K132" s="246"/>
      <c r="L132" s="67">
        <f t="shared" si="29"/>
        <v>206690</v>
      </c>
    </row>
    <row r="133" spans="1:12" x14ac:dyDescent="0.3">
      <c r="A133" s="32"/>
      <c r="B133" s="232"/>
      <c r="C133" s="244"/>
      <c r="D133" s="236"/>
      <c r="E133" s="265"/>
      <c r="F133" s="54">
        <f t="shared" si="27"/>
        <v>982</v>
      </c>
      <c r="G133" s="240"/>
      <c r="H133" s="226"/>
      <c r="I133" s="62">
        <f t="shared" si="28"/>
        <v>0</v>
      </c>
      <c r="J133" s="233"/>
      <c r="K133" s="246"/>
      <c r="L133" s="67">
        <f t="shared" si="29"/>
        <v>206690</v>
      </c>
    </row>
    <row r="134" spans="1:12" x14ac:dyDescent="0.3">
      <c r="A134" s="32"/>
      <c r="B134" s="232"/>
      <c r="C134" s="239"/>
      <c r="D134" s="236"/>
      <c r="E134" s="265"/>
      <c r="F134" s="54">
        <f t="shared" si="27"/>
        <v>982</v>
      </c>
      <c r="G134" s="240"/>
      <c r="H134" s="226"/>
      <c r="I134" s="62">
        <f t="shared" si="28"/>
        <v>0</v>
      </c>
      <c r="J134" s="247"/>
      <c r="K134" s="246"/>
      <c r="L134" s="67">
        <f t="shared" si="29"/>
        <v>206690</v>
      </c>
    </row>
    <row r="135" spans="1:12" x14ac:dyDescent="0.3">
      <c r="A135" s="32"/>
      <c r="B135" s="230"/>
      <c r="C135" s="244"/>
      <c r="D135" s="236"/>
      <c r="E135" s="231"/>
      <c r="F135" s="54">
        <f t="shared" si="27"/>
        <v>982</v>
      </c>
      <c r="G135" s="240"/>
      <c r="H135" s="226"/>
      <c r="I135" s="62">
        <f t="shared" si="28"/>
        <v>0</v>
      </c>
      <c r="J135" s="229"/>
      <c r="K135" s="246"/>
      <c r="L135" s="67">
        <f t="shared" si="29"/>
        <v>206690</v>
      </c>
    </row>
    <row r="136" spans="1:12" x14ac:dyDescent="0.3">
      <c r="A136" s="32"/>
      <c r="B136" s="222"/>
      <c r="C136" s="244"/>
      <c r="D136" s="236"/>
      <c r="E136" s="231"/>
      <c r="F136" s="54">
        <f t="shared" si="27"/>
        <v>982</v>
      </c>
      <c r="G136" s="240"/>
      <c r="H136" s="228"/>
      <c r="I136" s="62">
        <f t="shared" si="28"/>
        <v>0</v>
      </c>
      <c r="J136" s="229"/>
      <c r="K136" s="246"/>
      <c r="L136" s="67">
        <f t="shared" si="29"/>
        <v>206690</v>
      </c>
    </row>
    <row r="137" spans="1:12" x14ac:dyDescent="0.3">
      <c r="A137" s="32"/>
      <c r="B137" s="230"/>
      <c r="C137" s="245"/>
      <c r="D137" s="235"/>
      <c r="E137" s="231"/>
      <c r="F137" s="54">
        <f t="shared" si="27"/>
        <v>982</v>
      </c>
      <c r="G137" s="241"/>
      <c r="H137" s="226"/>
      <c r="I137" s="62">
        <f t="shared" si="28"/>
        <v>0</v>
      </c>
      <c r="J137" s="266"/>
      <c r="K137" s="246"/>
      <c r="L137" s="67">
        <f t="shared" si="29"/>
        <v>206690</v>
      </c>
    </row>
    <row r="138" spans="1:12" x14ac:dyDescent="0.3">
      <c r="A138" s="32"/>
      <c r="B138" s="230"/>
      <c r="C138" s="245"/>
      <c r="D138" s="235"/>
      <c r="E138" s="231"/>
      <c r="F138" s="54">
        <f t="shared" si="27"/>
        <v>982</v>
      </c>
      <c r="G138" s="240"/>
      <c r="H138" s="226"/>
      <c r="I138" s="62">
        <f t="shared" si="28"/>
        <v>0</v>
      </c>
      <c r="J138" s="248"/>
      <c r="K138" s="269"/>
      <c r="L138" s="67">
        <f t="shared" si="29"/>
        <v>206690</v>
      </c>
    </row>
    <row r="139" spans="1:12" x14ac:dyDescent="0.3">
      <c r="A139" s="32"/>
      <c r="B139" s="230"/>
      <c r="C139" s="244"/>
      <c r="D139" s="235"/>
      <c r="E139" s="231"/>
      <c r="F139" s="54">
        <f t="shared" si="27"/>
        <v>982</v>
      </c>
      <c r="G139" s="240"/>
      <c r="H139" s="226"/>
      <c r="I139" s="62">
        <f t="shared" si="28"/>
        <v>0</v>
      </c>
      <c r="J139" s="233"/>
      <c r="K139" s="246"/>
      <c r="L139" s="67">
        <f t="shared" si="29"/>
        <v>206690</v>
      </c>
    </row>
    <row r="140" spans="1:12" x14ac:dyDescent="0.3">
      <c r="A140" s="32"/>
      <c r="B140" s="230"/>
      <c r="C140" s="244"/>
      <c r="D140" s="235"/>
      <c r="E140" s="39"/>
      <c r="F140" s="54">
        <f t="shared" si="27"/>
        <v>982</v>
      </c>
      <c r="G140" s="240"/>
      <c r="H140" s="226"/>
      <c r="I140" s="62">
        <f t="shared" si="28"/>
        <v>0</v>
      </c>
      <c r="J140" s="247"/>
      <c r="K140" s="246"/>
      <c r="L140" s="67">
        <f t="shared" si="29"/>
        <v>206690</v>
      </c>
    </row>
    <row r="141" spans="1:12" x14ac:dyDescent="0.3">
      <c r="A141" s="32"/>
      <c r="B141" s="234"/>
      <c r="C141" s="244"/>
      <c r="D141" s="235"/>
      <c r="E141" s="39"/>
      <c r="F141" s="54">
        <f t="shared" si="27"/>
        <v>982</v>
      </c>
      <c r="G141" s="240"/>
      <c r="H141" s="226"/>
      <c r="I141" s="62">
        <f t="shared" si="28"/>
        <v>0</v>
      </c>
      <c r="J141" s="229"/>
      <c r="K141" s="246"/>
      <c r="L141" s="67">
        <f t="shared" si="29"/>
        <v>206690</v>
      </c>
    </row>
    <row r="142" spans="1:12" x14ac:dyDescent="0.3">
      <c r="A142" s="32"/>
      <c r="B142" s="230"/>
      <c r="C142" s="74"/>
      <c r="D142" s="235"/>
      <c r="E142" s="231"/>
      <c r="F142" s="54">
        <f t="shared" si="27"/>
        <v>982</v>
      </c>
      <c r="G142" s="240"/>
      <c r="H142" s="226"/>
      <c r="I142" s="62">
        <f t="shared" si="28"/>
        <v>0</v>
      </c>
      <c r="J142" s="229"/>
      <c r="K142" s="246"/>
      <c r="L142" s="67">
        <f t="shared" si="29"/>
        <v>206690</v>
      </c>
    </row>
    <row r="143" spans="1:12" x14ac:dyDescent="0.3">
      <c r="A143" s="32"/>
      <c r="B143" s="230"/>
      <c r="C143" s="267"/>
      <c r="D143" s="236"/>
      <c r="E143" s="231"/>
      <c r="F143" s="54">
        <f t="shared" si="27"/>
        <v>982</v>
      </c>
      <c r="G143" s="242"/>
      <c r="H143" s="226"/>
      <c r="I143" s="62">
        <f t="shared" si="28"/>
        <v>0</v>
      </c>
      <c r="J143" s="233"/>
      <c r="K143" s="246"/>
      <c r="L143" s="67">
        <f t="shared" si="29"/>
        <v>206690</v>
      </c>
    </row>
    <row r="144" spans="1:12" x14ac:dyDescent="0.3">
      <c r="A144" s="32"/>
      <c r="B144" s="232"/>
      <c r="C144" s="244"/>
      <c r="D144" s="236"/>
      <c r="E144" s="231"/>
      <c r="F144" s="54">
        <f t="shared" si="27"/>
        <v>982</v>
      </c>
      <c r="G144" s="242"/>
      <c r="H144" s="227"/>
      <c r="I144" s="62">
        <f t="shared" si="28"/>
        <v>0</v>
      </c>
      <c r="J144" s="233"/>
      <c r="K144" s="246"/>
      <c r="L144" s="67">
        <f t="shared" si="29"/>
        <v>206690</v>
      </c>
    </row>
    <row r="145" spans="1:12" x14ac:dyDescent="0.3">
      <c r="A145" s="32"/>
      <c r="B145" s="230"/>
      <c r="C145" s="244"/>
      <c r="D145" s="236"/>
      <c r="E145" s="231"/>
      <c r="F145" s="54">
        <f t="shared" si="27"/>
        <v>982</v>
      </c>
      <c r="G145" s="243"/>
      <c r="H145" s="227"/>
      <c r="I145" s="62">
        <f t="shared" si="28"/>
        <v>0</v>
      </c>
      <c r="J145" s="264"/>
      <c r="K145" s="246"/>
      <c r="L145" s="67">
        <f t="shared" si="29"/>
        <v>206690</v>
      </c>
    </row>
    <row r="146" spans="1:12" x14ac:dyDescent="0.3">
      <c r="A146" s="32"/>
      <c r="B146" s="230"/>
      <c r="C146" s="244"/>
      <c r="D146" s="236"/>
      <c r="E146" s="231"/>
      <c r="F146" s="54">
        <f t="shared" si="27"/>
        <v>982</v>
      </c>
      <c r="G146" s="223"/>
      <c r="H146" s="221"/>
      <c r="I146" s="62">
        <f t="shared" si="28"/>
        <v>0</v>
      </c>
      <c r="J146" s="229"/>
      <c r="K146" s="246"/>
      <c r="L146" s="67">
        <f t="shared" si="29"/>
        <v>206690</v>
      </c>
    </row>
    <row r="147" spans="1:12" x14ac:dyDescent="0.3">
      <c r="A147" s="32"/>
      <c r="B147" s="230"/>
      <c r="C147" s="244"/>
      <c r="D147" s="236"/>
      <c r="E147" s="231"/>
      <c r="F147" s="54">
        <f>+F146+C147+D147-E147</f>
        <v>982</v>
      </c>
      <c r="G147" s="240"/>
      <c r="H147" s="226">
        <v>0</v>
      </c>
      <c r="I147" s="62">
        <f>I146++G147-H147</f>
        <v>0</v>
      </c>
      <c r="J147" s="233"/>
      <c r="K147" s="246"/>
      <c r="L147" s="67">
        <f>L146++J147-K147</f>
        <v>206690</v>
      </c>
    </row>
    <row r="148" spans="1:12" x14ac:dyDescent="0.3">
      <c r="A148" s="32"/>
      <c r="B148" s="230"/>
      <c r="C148" s="244"/>
      <c r="D148" s="236"/>
      <c r="E148" s="231"/>
      <c r="F148" s="54">
        <f t="shared" ref="F148:F171" si="30">+F147+C148+D148-E148</f>
        <v>982</v>
      </c>
      <c r="G148" s="241"/>
      <c r="H148" s="226"/>
      <c r="I148" s="62">
        <f t="shared" ref="I148:I171" si="31">I147++G148-H148</f>
        <v>0</v>
      </c>
      <c r="J148" s="233"/>
      <c r="K148" s="246"/>
      <c r="L148" s="67">
        <f t="shared" ref="L148:L171" si="32">L147++J148-K148</f>
        <v>206690</v>
      </c>
    </row>
    <row r="149" spans="1:12" x14ac:dyDescent="0.3">
      <c r="A149" s="32"/>
      <c r="B149" s="230"/>
      <c r="C149" s="267"/>
      <c r="D149" s="236"/>
      <c r="E149" s="235"/>
      <c r="F149" s="54">
        <f t="shared" si="30"/>
        <v>982</v>
      </c>
      <c r="G149" s="240"/>
      <c r="H149" s="228"/>
      <c r="I149" s="62">
        <f t="shared" si="31"/>
        <v>0</v>
      </c>
      <c r="J149" s="247"/>
      <c r="K149" s="246"/>
      <c r="L149" s="67">
        <f t="shared" si="32"/>
        <v>206690</v>
      </c>
    </row>
    <row r="150" spans="1:12" x14ac:dyDescent="0.3">
      <c r="A150" s="32"/>
      <c r="B150" s="232"/>
      <c r="C150" s="244"/>
      <c r="D150" s="236"/>
      <c r="E150" s="265"/>
      <c r="F150" s="54">
        <f t="shared" si="30"/>
        <v>982</v>
      </c>
      <c r="G150" s="240"/>
      <c r="H150" s="226"/>
      <c r="I150" s="62">
        <f t="shared" si="31"/>
        <v>0</v>
      </c>
      <c r="J150" s="233"/>
      <c r="K150" s="246"/>
      <c r="L150" s="67">
        <f t="shared" si="32"/>
        <v>206690</v>
      </c>
    </row>
    <row r="151" spans="1:12" x14ac:dyDescent="0.3">
      <c r="A151" s="32"/>
      <c r="B151" s="232"/>
      <c r="C151" s="239"/>
      <c r="D151" s="236"/>
      <c r="E151" s="265"/>
      <c r="F151" s="54">
        <f t="shared" si="30"/>
        <v>982</v>
      </c>
      <c r="G151" s="240"/>
      <c r="H151" s="226"/>
      <c r="I151" s="62">
        <f t="shared" si="31"/>
        <v>0</v>
      </c>
      <c r="J151" s="247"/>
      <c r="K151" s="246"/>
      <c r="L151" s="67">
        <f t="shared" si="32"/>
        <v>206690</v>
      </c>
    </row>
    <row r="152" spans="1:12" x14ac:dyDescent="0.3">
      <c r="A152" s="32"/>
      <c r="B152" s="230"/>
      <c r="C152" s="244"/>
      <c r="D152" s="236"/>
      <c r="E152" s="231"/>
      <c r="F152" s="54">
        <f t="shared" si="30"/>
        <v>982</v>
      </c>
      <c r="G152" s="240"/>
      <c r="H152" s="226"/>
      <c r="I152" s="62">
        <f t="shared" si="31"/>
        <v>0</v>
      </c>
      <c r="J152" s="229"/>
      <c r="K152" s="246"/>
      <c r="L152" s="67">
        <f t="shared" si="32"/>
        <v>206690</v>
      </c>
    </row>
    <row r="153" spans="1:12" x14ac:dyDescent="0.3">
      <c r="A153" s="32"/>
      <c r="B153" s="230"/>
      <c r="C153" s="244"/>
      <c r="D153" s="236"/>
      <c r="E153" s="231"/>
      <c r="F153" s="54">
        <f t="shared" si="30"/>
        <v>982</v>
      </c>
      <c r="G153" s="240"/>
      <c r="H153" s="228"/>
      <c r="I153" s="62">
        <f t="shared" si="31"/>
        <v>0</v>
      </c>
      <c r="J153" s="229"/>
      <c r="K153" s="246"/>
      <c r="L153" s="67">
        <f t="shared" si="32"/>
        <v>206690</v>
      </c>
    </row>
    <row r="154" spans="1:12" x14ac:dyDescent="0.3">
      <c r="A154" s="32"/>
      <c r="B154" s="230"/>
      <c r="C154" s="245"/>
      <c r="D154" s="235"/>
      <c r="E154" s="231"/>
      <c r="F154" s="54">
        <f t="shared" si="30"/>
        <v>982</v>
      </c>
      <c r="G154" s="241"/>
      <c r="H154" s="226"/>
      <c r="I154" s="62">
        <f t="shared" si="31"/>
        <v>0</v>
      </c>
      <c r="J154" s="266"/>
      <c r="K154" s="246"/>
      <c r="L154" s="67">
        <f t="shared" si="32"/>
        <v>206690</v>
      </c>
    </row>
    <row r="155" spans="1:12" x14ac:dyDescent="0.3">
      <c r="A155" s="32"/>
      <c r="B155" s="230"/>
      <c r="C155" s="245"/>
      <c r="D155" s="235"/>
      <c r="E155" s="231"/>
      <c r="F155" s="54">
        <f t="shared" si="30"/>
        <v>982</v>
      </c>
      <c r="G155" s="240"/>
      <c r="H155" s="226"/>
      <c r="I155" s="62">
        <f t="shared" si="31"/>
        <v>0</v>
      </c>
      <c r="J155" s="248"/>
      <c r="K155" s="269"/>
      <c r="L155" s="67">
        <f t="shared" si="32"/>
        <v>206690</v>
      </c>
    </row>
    <row r="156" spans="1:12" x14ac:dyDescent="0.3">
      <c r="A156" s="32"/>
      <c r="B156" s="230"/>
      <c r="C156" s="244"/>
      <c r="D156" s="235"/>
      <c r="E156" s="231"/>
      <c r="F156" s="54">
        <f t="shared" si="30"/>
        <v>982</v>
      </c>
      <c r="G156" s="240"/>
      <c r="H156" s="226"/>
      <c r="I156" s="62">
        <f t="shared" si="31"/>
        <v>0</v>
      </c>
      <c r="J156" s="233"/>
      <c r="K156" s="246"/>
      <c r="L156" s="67">
        <f t="shared" si="32"/>
        <v>206690</v>
      </c>
    </row>
    <row r="157" spans="1:12" x14ac:dyDescent="0.3">
      <c r="A157" s="32"/>
      <c r="B157" s="230"/>
      <c r="C157" s="244"/>
      <c r="D157" s="235"/>
      <c r="E157" s="231"/>
      <c r="F157" s="54">
        <f t="shared" si="30"/>
        <v>982</v>
      </c>
      <c r="G157" s="240"/>
      <c r="H157" s="226"/>
      <c r="I157" s="62">
        <f t="shared" si="31"/>
        <v>0</v>
      </c>
      <c r="J157" s="247"/>
      <c r="K157" s="246"/>
      <c r="L157" s="67">
        <f t="shared" si="32"/>
        <v>206690</v>
      </c>
    </row>
    <row r="158" spans="1:12" x14ac:dyDescent="0.3">
      <c r="A158" s="32"/>
      <c r="B158" s="230"/>
      <c r="C158" s="244"/>
      <c r="D158" s="235"/>
      <c r="E158" s="231"/>
      <c r="F158" s="54">
        <f t="shared" si="30"/>
        <v>982</v>
      </c>
      <c r="G158" s="240"/>
      <c r="H158" s="226"/>
      <c r="I158" s="62">
        <f t="shared" si="31"/>
        <v>0</v>
      </c>
      <c r="J158" s="229"/>
      <c r="K158" s="246"/>
      <c r="L158" s="67">
        <f t="shared" si="32"/>
        <v>206690</v>
      </c>
    </row>
    <row r="159" spans="1:12" x14ac:dyDescent="0.3">
      <c r="A159" s="32"/>
      <c r="B159" s="230"/>
      <c r="C159" s="74"/>
      <c r="D159" s="235"/>
      <c r="E159" s="231"/>
      <c r="F159" s="54">
        <f t="shared" si="30"/>
        <v>982</v>
      </c>
      <c r="G159" s="240"/>
      <c r="H159" s="226"/>
      <c r="I159" s="62">
        <f t="shared" si="31"/>
        <v>0</v>
      </c>
      <c r="J159" s="229"/>
      <c r="K159" s="246"/>
      <c r="L159" s="67">
        <f t="shared" si="32"/>
        <v>206690</v>
      </c>
    </row>
    <row r="160" spans="1:12" x14ac:dyDescent="0.3">
      <c r="A160" s="32"/>
      <c r="B160" s="230"/>
      <c r="C160" s="267"/>
      <c r="D160" s="236"/>
      <c r="E160" s="231"/>
      <c r="F160" s="54">
        <f t="shared" si="30"/>
        <v>982</v>
      </c>
      <c r="G160" s="242"/>
      <c r="H160" s="226"/>
      <c r="I160" s="62">
        <f t="shared" si="31"/>
        <v>0</v>
      </c>
      <c r="J160" s="233"/>
      <c r="K160" s="246"/>
      <c r="L160" s="67">
        <f t="shared" si="32"/>
        <v>206690</v>
      </c>
    </row>
    <row r="161" spans="1:12" x14ac:dyDescent="0.3">
      <c r="A161" s="32"/>
      <c r="B161" s="232"/>
      <c r="C161" s="244"/>
      <c r="D161" s="236"/>
      <c r="E161" s="231"/>
      <c r="F161" s="54">
        <f t="shared" si="30"/>
        <v>982</v>
      </c>
      <c r="G161" s="242"/>
      <c r="H161" s="227"/>
      <c r="I161" s="62">
        <f t="shared" si="31"/>
        <v>0</v>
      </c>
      <c r="J161" s="233"/>
      <c r="K161" s="246"/>
      <c r="L161" s="67">
        <f t="shared" si="32"/>
        <v>206690</v>
      </c>
    </row>
    <row r="162" spans="1:12" x14ac:dyDescent="0.3">
      <c r="A162" s="32"/>
      <c r="B162" s="230"/>
      <c r="C162" s="244"/>
      <c r="D162" s="236"/>
      <c r="E162" s="231"/>
      <c r="F162" s="54">
        <f t="shared" si="30"/>
        <v>982</v>
      </c>
      <c r="G162" s="243"/>
      <c r="H162" s="227"/>
      <c r="I162" s="62">
        <f t="shared" si="31"/>
        <v>0</v>
      </c>
      <c r="J162" s="264"/>
      <c r="K162" s="246"/>
      <c r="L162" s="67">
        <f t="shared" si="32"/>
        <v>206690</v>
      </c>
    </row>
    <row r="163" spans="1:12" x14ac:dyDescent="0.3">
      <c r="A163" s="32"/>
      <c r="B163" s="230"/>
      <c r="C163" s="244"/>
      <c r="D163" s="236"/>
      <c r="E163" s="231"/>
      <c r="F163" s="54">
        <f t="shared" si="30"/>
        <v>982</v>
      </c>
      <c r="G163" s="223"/>
      <c r="H163" s="221"/>
      <c r="I163" s="62">
        <f t="shared" si="31"/>
        <v>0</v>
      </c>
      <c r="J163" s="229"/>
      <c r="K163" s="246"/>
      <c r="L163" s="67">
        <f t="shared" si="32"/>
        <v>206690</v>
      </c>
    </row>
    <row r="164" spans="1:12" x14ac:dyDescent="0.3">
      <c r="A164" s="32"/>
      <c r="B164" s="230"/>
      <c r="C164" s="245"/>
      <c r="D164" s="235"/>
      <c r="E164" s="231"/>
      <c r="F164" s="54">
        <f t="shared" si="30"/>
        <v>982</v>
      </c>
      <c r="G164" s="223"/>
      <c r="H164" s="227"/>
      <c r="I164" s="62">
        <f t="shared" si="31"/>
        <v>0</v>
      </c>
      <c r="J164" s="229"/>
      <c r="K164" s="246"/>
      <c r="L164" s="67">
        <f t="shared" si="32"/>
        <v>206690</v>
      </c>
    </row>
    <row r="165" spans="1:12" x14ac:dyDescent="0.3">
      <c r="A165" s="32"/>
      <c r="B165" s="230"/>
      <c r="C165" s="245"/>
      <c r="D165" s="235"/>
      <c r="E165" s="231"/>
      <c r="F165" s="54">
        <f t="shared" si="30"/>
        <v>982</v>
      </c>
      <c r="G165" s="223"/>
      <c r="H165" s="227"/>
      <c r="I165" s="62">
        <f t="shared" si="31"/>
        <v>0</v>
      </c>
      <c r="J165" s="247"/>
      <c r="K165" s="246"/>
      <c r="L165" s="67">
        <f t="shared" si="32"/>
        <v>206690</v>
      </c>
    </row>
    <row r="166" spans="1:12" x14ac:dyDescent="0.3">
      <c r="A166" s="32"/>
      <c r="B166" s="230"/>
      <c r="C166" s="245"/>
      <c r="D166" s="235"/>
      <c r="E166" s="231"/>
      <c r="F166" s="54">
        <f t="shared" si="30"/>
        <v>982</v>
      </c>
      <c r="G166" s="223"/>
      <c r="H166" s="227"/>
      <c r="I166" s="62">
        <f t="shared" si="31"/>
        <v>0</v>
      </c>
      <c r="J166" s="65"/>
      <c r="K166" s="246"/>
      <c r="L166" s="67">
        <f t="shared" si="32"/>
        <v>206690</v>
      </c>
    </row>
    <row r="167" spans="1:12" x14ac:dyDescent="0.3">
      <c r="A167" s="32"/>
      <c r="B167" s="222"/>
      <c r="C167" s="245"/>
      <c r="D167" s="231"/>
      <c r="E167" s="231"/>
      <c r="F167" s="54">
        <f t="shared" si="30"/>
        <v>982</v>
      </c>
      <c r="G167" s="223"/>
      <c r="H167" s="227"/>
      <c r="I167" s="62">
        <f t="shared" si="31"/>
        <v>0</v>
      </c>
      <c r="J167" s="229"/>
      <c r="K167" s="246"/>
      <c r="L167" s="67">
        <f t="shared" si="32"/>
        <v>206690</v>
      </c>
    </row>
    <row r="168" spans="1:12" x14ac:dyDescent="0.3">
      <c r="A168" s="32"/>
      <c r="B168" s="230"/>
      <c r="C168" s="244"/>
      <c r="D168" s="235"/>
      <c r="E168" s="231"/>
      <c r="F168" s="54">
        <f t="shared" si="30"/>
        <v>982</v>
      </c>
      <c r="G168" s="223"/>
      <c r="H168" s="227"/>
      <c r="I168" s="62">
        <f t="shared" si="31"/>
        <v>0</v>
      </c>
      <c r="J168" s="233"/>
      <c r="K168" s="246"/>
      <c r="L168" s="67">
        <f t="shared" si="32"/>
        <v>206690</v>
      </c>
    </row>
    <row r="169" spans="1:12" x14ac:dyDescent="0.3">
      <c r="A169" s="32"/>
      <c r="B169" s="230"/>
      <c r="C169" s="244"/>
      <c r="D169" s="235"/>
      <c r="E169" s="83"/>
      <c r="F169" s="54">
        <f t="shared" si="30"/>
        <v>982</v>
      </c>
      <c r="G169" s="223"/>
      <c r="H169" s="227"/>
      <c r="I169" s="62">
        <f t="shared" si="31"/>
        <v>0</v>
      </c>
      <c r="J169" s="248"/>
      <c r="K169" s="246"/>
      <c r="L169" s="67">
        <f t="shared" si="32"/>
        <v>206690</v>
      </c>
    </row>
    <row r="170" spans="1:12" x14ac:dyDescent="0.3">
      <c r="A170" s="32"/>
      <c r="B170" s="230"/>
      <c r="C170" s="245"/>
      <c r="D170" s="235"/>
      <c r="E170" s="231"/>
      <c r="F170" s="54">
        <f t="shared" si="30"/>
        <v>982</v>
      </c>
      <c r="G170" s="223"/>
      <c r="H170" s="227"/>
      <c r="I170" s="62">
        <f t="shared" si="31"/>
        <v>0</v>
      </c>
      <c r="J170" s="248"/>
      <c r="K170" s="246"/>
      <c r="L170" s="67">
        <f t="shared" si="32"/>
        <v>206690</v>
      </c>
    </row>
    <row r="171" spans="1:12" x14ac:dyDescent="0.3">
      <c r="A171" s="32"/>
      <c r="B171" s="234"/>
      <c r="C171" s="245"/>
      <c r="D171" s="237"/>
      <c r="E171" s="231"/>
      <c r="F171" s="54">
        <f t="shared" si="30"/>
        <v>982</v>
      </c>
      <c r="G171" s="223"/>
      <c r="H171" s="227"/>
      <c r="I171" s="62">
        <f t="shared" si="31"/>
        <v>0</v>
      </c>
      <c r="J171" s="248"/>
      <c r="K171" s="246"/>
      <c r="L171" s="67">
        <f t="shared" si="32"/>
        <v>206690</v>
      </c>
    </row>
    <row r="172" spans="1:12" x14ac:dyDescent="0.3">
      <c r="A172" s="32"/>
      <c r="B172" s="230"/>
      <c r="C172" s="244"/>
      <c r="D172" s="236"/>
      <c r="E172" s="231"/>
      <c r="F172" s="54">
        <f>+F171+C172+D172-E172</f>
        <v>982</v>
      </c>
      <c r="G172" s="240"/>
      <c r="H172" s="226">
        <v>0</v>
      </c>
      <c r="I172" s="62">
        <f>I171++G172-H172</f>
        <v>0</v>
      </c>
      <c r="J172" s="233"/>
      <c r="K172" s="246"/>
      <c r="L172" s="67">
        <f>L171++J172-K172</f>
        <v>206690</v>
      </c>
    </row>
    <row r="173" spans="1:12" x14ac:dyDescent="0.3">
      <c r="A173" s="32"/>
      <c r="B173" s="230"/>
      <c r="C173" s="244"/>
      <c r="D173" s="236"/>
      <c r="E173" s="231"/>
      <c r="F173" s="54">
        <f t="shared" ref="F173:F182" si="33">+F172+C173+D173-E173</f>
        <v>982</v>
      </c>
      <c r="G173" s="241"/>
      <c r="H173" s="226"/>
      <c r="I173" s="62">
        <f t="shared" ref="I173:I182" si="34">I172++G173-H173</f>
        <v>0</v>
      </c>
      <c r="J173" s="233"/>
      <c r="K173" s="246"/>
      <c r="L173" s="67">
        <f t="shared" ref="L173:L182" si="35">L172++J173-K173</f>
        <v>206690</v>
      </c>
    </row>
    <row r="174" spans="1:12" x14ac:dyDescent="0.3">
      <c r="A174" s="32"/>
      <c r="B174" s="230"/>
      <c r="C174" s="267"/>
      <c r="D174" s="236"/>
      <c r="E174" s="235"/>
      <c r="F174" s="54">
        <f t="shared" si="33"/>
        <v>982</v>
      </c>
      <c r="G174" s="240"/>
      <c r="H174" s="228"/>
      <c r="I174" s="62">
        <f t="shared" si="34"/>
        <v>0</v>
      </c>
      <c r="J174" s="247"/>
      <c r="K174" s="246"/>
      <c r="L174" s="67">
        <f t="shared" si="35"/>
        <v>206690</v>
      </c>
    </row>
    <row r="175" spans="1:12" x14ac:dyDescent="0.3">
      <c r="A175" s="32"/>
      <c r="B175" s="230"/>
      <c r="C175" s="244"/>
      <c r="D175" s="236"/>
      <c r="E175" s="235"/>
      <c r="F175" s="54">
        <f t="shared" si="33"/>
        <v>982</v>
      </c>
      <c r="G175" s="240"/>
      <c r="H175" s="226"/>
      <c r="I175" s="62">
        <f t="shared" si="34"/>
        <v>0</v>
      </c>
      <c r="J175" s="233"/>
      <c r="K175" s="246"/>
      <c r="L175" s="67">
        <f t="shared" si="35"/>
        <v>206690</v>
      </c>
    </row>
    <row r="176" spans="1:12" x14ac:dyDescent="0.3">
      <c r="A176" s="32"/>
      <c r="B176" s="230"/>
      <c r="C176" s="239"/>
      <c r="D176" s="236"/>
      <c r="E176" s="235"/>
      <c r="F176" s="54">
        <f t="shared" si="33"/>
        <v>982</v>
      </c>
      <c r="G176" s="240"/>
      <c r="H176" s="226"/>
      <c r="I176" s="62">
        <f t="shared" si="34"/>
        <v>0</v>
      </c>
      <c r="J176" s="247"/>
      <c r="K176" s="246"/>
      <c r="L176" s="67">
        <f t="shared" si="35"/>
        <v>206690</v>
      </c>
    </row>
    <row r="177" spans="1:12" x14ac:dyDescent="0.3">
      <c r="A177" s="32"/>
      <c r="B177" s="230"/>
      <c r="C177" s="244"/>
      <c r="D177" s="236"/>
      <c r="E177" s="231"/>
      <c r="F177" s="54">
        <f t="shared" si="33"/>
        <v>982</v>
      </c>
      <c r="G177" s="240"/>
      <c r="H177" s="226"/>
      <c r="I177" s="62">
        <f t="shared" si="34"/>
        <v>0</v>
      </c>
      <c r="J177" s="229"/>
      <c r="K177" s="246"/>
      <c r="L177" s="67">
        <f t="shared" si="35"/>
        <v>206690</v>
      </c>
    </row>
    <row r="178" spans="1:12" x14ac:dyDescent="0.3">
      <c r="A178" s="32"/>
      <c r="B178" s="220"/>
      <c r="C178" s="244"/>
      <c r="D178" s="236"/>
      <c r="E178" s="231"/>
      <c r="F178" s="54">
        <f t="shared" si="33"/>
        <v>982</v>
      </c>
      <c r="G178" s="240"/>
      <c r="H178" s="228"/>
      <c r="I178" s="62">
        <f t="shared" si="34"/>
        <v>0</v>
      </c>
      <c r="J178" s="229"/>
      <c r="K178" s="246"/>
      <c r="L178" s="67">
        <f t="shared" si="35"/>
        <v>206690</v>
      </c>
    </row>
    <row r="179" spans="1:12" x14ac:dyDescent="0.3">
      <c r="A179" s="32"/>
      <c r="B179" s="230"/>
      <c r="C179" s="245"/>
      <c r="D179" s="235"/>
      <c r="E179" s="231"/>
      <c r="F179" s="54">
        <f t="shared" si="33"/>
        <v>982</v>
      </c>
      <c r="G179" s="241"/>
      <c r="H179" s="226"/>
      <c r="I179" s="62">
        <f t="shared" si="34"/>
        <v>0</v>
      </c>
      <c r="J179" s="266"/>
      <c r="K179" s="246"/>
      <c r="L179" s="67">
        <f t="shared" si="35"/>
        <v>206690</v>
      </c>
    </row>
    <row r="180" spans="1:12" x14ac:dyDescent="0.3">
      <c r="A180" s="32"/>
      <c r="B180" s="232"/>
      <c r="C180" s="244"/>
      <c r="D180" s="235"/>
      <c r="E180" s="231"/>
      <c r="F180" s="54">
        <f t="shared" si="33"/>
        <v>982</v>
      </c>
      <c r="G180" s="240"/>
      <c r="H180" s="226"/>
      <c r="I180" s="62">
        <f t="shared" si="34"/>
        <v>0</v>
      </c>
      <c r="J180" s="248"/>
      <c r="K180" s="269"/>
      <c r="L180" s="67">
        <f t="shared" si="35"/>
        <v>206690</v>
      </c>
    </row>
    <row r="181" spans="1:12" x14ac:dyDescent="0.3">
      <c r="A181" s="32"/>
      <c r="B181" s="232"/>
      <c r="C181" s="244"/>
      <c r="D181" s="235"/>
      <c r="E181" s="231"/>
      <c r="F181" s="54">
        <f t="shared" si="33"/>
        <v>982</v>
      </c>
      <c r="G181" s="240"/>
      <c r="H181" s="226"/>
      <c r="I181" s="62">
        <f t="shared" si="34"/>
        <v>0</v>
      </c>
      <c r="J181" s="233"/>
      <c r="K181" s="246"/>
      <c r="L181" s="67">
        <f t="shared" si="35"/>
        <v>206690</v>
      </c>
    </row>
    <row r="182" spans="1:12" x14ac:dyDescent="0.3">
      <c r="A182" s="32"/>
      <c r="B182" s="230"/>
      <c r="C182" s="244"/>
      <c r="D182" s="235"/>
      <c r="E182" s="231"/>
      <c r="F182" s="54">
        <f t="shared" si="33"/>
        <v>982</v>
      </c>
      <c r="G182" s="240"/>
      <c r="H182" s="226"/>
      <c r="I182" s="62">
        <f t="shared" si="34"/>
        <v>0</v>
      </c>
      <c r="J182" s="247"/>
      <c r="K182" s="246"/>
      <c r="L182" s="67">
        <f t="shared" si="35"/>
        <v>206690</v>
      </c>
    </row>
    <row r="183" spans="1:12" x14ac:dyDescent="0.3">
      <c r="A183" s="32"/>
      <c r="B183" s="234"/>
      <c r="C183" s="267"/>
      <c r="D183" s="236"/>
      <c r="E183" s="231"/>
      <c r="F183" s="54">
        <f>+F182+C183+D183-E183</f>
        <v>982</v>
      </c>
      <c r="G183" s="240"/>
      <c r="H183" s="226">
        <v>0</v>
      </c>
      <c r="I183" s="62">
        <f>I182++G183-H183</f>
        <v>0</v>
      </c>
      <c r="J183" s="233"/>
      <c r="K183" s="246"/>
      <c r="L183" s="67">
        <f>L182++J183-K183</f>
        <v>206690</v>
      </c>
    </row>
    <row r="184" spans="1:12" x14ac:dyDescent="0.3">
      <c r="A184" s="32"/>
      <c r="B184" s="230"/>
      <c r="C184" s="244"/>
      <c r="D184" s="236"/>
      <c r="E184" s="231"/>
      <c r="F184" s="54">
        <f t="shared" ref="F184:F193" si="36">+F183+C184+D184-E184</f>
        <v>982</v>
      </c>
      <c r="G184" s="241"/>
      <c r="H184" s="226"/>
      <c r="I184" s="62">
        <f t="shared" ref="I184:I193" si="37">I183++G184-H184</f>
        <v>0</v>
      </c>
      <c r="J184" s="233"/>
      <c r="K184" s="246"/>
      <c r="L184" s="67">
        <f t="shared" ref="L184:L193" si="38">L183++J184-K184</f>
        <v>206690</v>
      </c>
    </row>
    <row r="185" spans="1:12" x14ac:dyDescent="0.3">
      <c r="A185" s="32"/>
      <c r="B185" s="230"/>
      <c r="C185" s="267"/>
      <c r="D185" s="236"/>
      <c r="E185" s="235"/>
      <c r="F185" s="54">
        <f t="shared" si="36"/>
        <v>982</v>
      </c>
      <c r="G185" s="240"/>
      <c r="H185" s="228"/>
      <c r="I185" s="62">
        <f t="shared" si="37"/>
        <v>0</v>
      </c>
      <c r="J185" s="247"/>
      <c r="K185" s="246"/>
      <c r="L185" s="67">
        <f t="shared" si="38"/>
        <v>206690</v>
      </c>
    </row>
    <row r="186" spans="1:12" x14ac:dyDescent="0.3">
      <c r="A186" s="32"/>
      <c r="B186" s="230"/>
      <c r="C186" s="244"/>
      <c r="D186" s="236"/>
      <c r="E186" s="235"/>
      <c r="F186" s="54">
        <f t="shared" si="36"/>
        <v>982</v>
      </c>
      <c r="G186" s="240"/>
      <c r="H186" s="226"/>
      <c r="I186" s="62">
        <f t="shared" si="37"/>
        <v>0</v>
      </c>
      <c r="J186" s="233"/>
      <c r="K186" s="246"/>
      <c r="L186" s="67">
        <f t="shared" si="38"/>
        <v>206690</v>
      </c>
    </row>
    <row r="187" spans="1:12" x14ac:dyDescent="0.3">
      <c r="A187" s="32"/>
      <c r="B187" s="232"/>
      <c r="C187" s="239"/>
      <c r="D187" s="236"/>
      <c r="E187" s="235"/>
      <c r="F187" s="54">
        <f t="shared" si="36"/>
        <v>982</v>
      </c>
      <c r="G187" s="240"/>
      <c r="H187" s="226"/>
      <c r="I187" s="62">
        <f t="shared" si="37"/>
        <v>0</v>
      </c>
      <c r="J187" s="247"/>
      <c r="K187" s="246"/>
      <c r="L187" s="67">
        <f t="shared" si="38"/>
        <v>206690</v>
      </c>
    </row>
    <row r="188" spans="1:12" x14ac:dyDescent="0.3">
      <c r="A188" s="32"/>
      <c r="B188" s="230"/>
      <c r="C188" s="244"/>
      <c r="D188" s="236"/>
      <c r="E188" s="231"/>
      <c r="F188" s="54">
        <f t="shared" si="36"/>
        <v>982</v>
      </c>
      <c r="G188" s="240"/>
      <c r="H188" s="226"/>
      <c r="I188" s="62">
        <f t="shared" si="37"/>
        <v>0</v>
      </c>
      <c r="J188" s="229"/>
      <c r="K188" s="246"/>
      <c r="L188" s="67">
        <f t="shared" si="38"/>
        <v>206690</v>
      </c>
    </row>
    <row r="189" spans="1:12" x14ac:dyDescent="0.3">
      <c r="A189" s="32"/>
      <c r="B189" s="222"/>
      <c r="C189" s="244"/>
      <c r="D189" s="236"/>
      <c r="E189" s="231"/>
      <c r="F189" s="54">
        <f t="shared" si="36"/>
        <v>982</v>
      </c>
      <c r="G189" s="240"/>
      <c r="H189" s="228"/>
      <c r="I189" s="62">
        <f t="shared" si="37"/>
        <v>0</v>
      </c>
      <c r="J189" s="229"/>
      <c r="K189" s="246"/>
      <c r="L189" s="67">
        <f t="shared" si="38"/>
        <v>206690</v>
      </c>
    </row>
    <row r="190" spans="1:12" x14ac:dyDescent="0.3">
      <c r="A190" s="32"/>
      <c r="B190" s="230"/>
      <c r="C190" s="245"/>
      <c r="D190" s="235"/>
      <c r="E190" s="231"/>
      <c r="F190" s="54">
        <f t="shared" si="36"/>
        <v>982</v>
      </c>
      <c r="G190" s="241"/>
      <c r="H190" s="226"/>
      <c r="I190" s="62">
        <f t="shared" si="37"/>
        <v>0</v>
      </c>
      <c r="J190" s="266"/>
      <c r="K190" s="246"/>
      <c r="L190" s="67">
        <f t="shared" si="38"/>
        <v>206690</v>
      </c>
    </row>
    <row r="191" spans="1:12" x14ac:dyDescent="0.3">
      <c r="A191" s="32"/>
      <c r="B191" s="230"/>
      <c r="C191" s="244"/>
      <c r="D191" s="235"/>
      <c r="E191" s="231"/>
      <c r="F191" s="54">
        <f t="shared" si="36"/>
        <v>982</v>
      </c>
      <c r="G191" s="240"/>
      <c r="H191" s="226"/>
      <c r="I191" s="62">
        <f t="shared" si="37"/>
        <v>0</v>
      </c>
      <c r="J191" s="248"/>
      <c r="K191" s="269"/>
      <c r="L191" s="67">
        <f t="shared" si="38"/>
        <v>206690</v>
      </c>
    </row>
    <row r="192" spans="1:12" x14ac:dyDescent="0.3">
      <c r="A192" s="32"/>
      <c r="B192" s="230"/>
      <c r="C192" s="244"/>
      <c r="D192" s="235"/>
      <c r="E192" s="231"/>
      <c r="F192" s="54">
        <f t="shared" si="36"/>
        <v>982</v>
      </c>
      <c r="G192" s="240"/>
      <c r="H192" s="226"/>
      <c r="I192" s="62">
        <f t="shared" si="37"/>
        <v>0</v>
      </c>
      <c r="J192" s="233"/>
      <c r="K192" s="246"/>
      <c r="L192" s="67">
        <f t="shared" si="38"/>
        <v>206690</v>
      </c>
    </row>
    <row r="193" spans="1:12" x14ac:dyDescent="0.3">
      <c r="A193" s="32"/>
      <c r="B193" s="232"/>
      <c r="C193" s="244"/>
      <c r="D193" s="235"/>
      <c r="E193" s="231"/>
      <c r="F193" s="54">
        <f t="shared" si="36"/>
        <v>982</v>
      </c>
      <c r="G193" s="240"/>
      <c r="H193" s="226"/>
      <c r="I193" s="62">
        <f t="shared" si="37"/>
        <v>0</v>
      </c>
      <c r="J193" s="247"/>
      <c r="K193" s="246"/>
      <c r="L193" s="67">
        <f t="shared" si="38"/>
        <v>206690</v>
      </c>
    </row>
    <row r="194" spans="1:12" x14ac:dyDescent="0.3">
      <c r="A194" s="32"/>
      <c r="B194" s="230"/>
      <c r="C194" s="267"/>
      <c r="D194" s="236"/>
      <c r="E194" s="231"/>
      <c r="F194" s="54">
        <f>+F193+C194+D194-E194</f>
        <v>982</v>
      </c>
      <c r="G194" s="240"/>
      <c r="H194" s="226">
        <v>0</v>
      </c>
      <c r="I194" s="62">
        <f>I193++G194-H194</f>
        <v>0</v>
      </c>
      <c r="J194" s="233"/>
      <c r="K194" s="246"/>
      <c r="L194" s="67">
        <f>L193++J194-K194</f>
        <v>206690</v>
      </c>
    </row>
    <row r="195" spans="1:12" x14ac:dyDescent="0.3">
      <c r="A195" s="32"/>
      <c r="B195" s="230"/>
      <c r="C195" s="244"/>
      <c r="D195" s="236"/>
      <c r="E195" s="231"/>
      <c r="F195" s="54">
        <f t="shared" ref="F195:F220" si="39">+F194+C195+D195-E195</f>
        <v>982</v>
      </c>
      <c r="G195" s="241"/>
      <c r="H195" s="226"/>
      <c r="I195" s="62">
        <f t="shared" ref="I195:I220" si="40">I194++G195-H195</f>
        <v>0</v>
      </c>
      <c r="J195" s="233"/>
      <c r="K195" s="246"/>
      <c r="L195" s="67">
        <f t="shared" ref="L195:L220" si="41">L194++J195-K195</f>
        <v>206690</v>
      </c>
    </row>
    <row r="196" spans="1:12" x14ac:dyDescent="0.3">
      <c r="A196" s="32"/>
      <c r="B196" s="230"/>
      <c r="C196" s="267"/>
      <c r="D196" s="236"/>
      <c r="E196" s="235"/>
      <c r="F196" s="54">
        <f t="shared" si="39"/>
        <v>982</v>
      </c>
      <c r="G196" s="240"/>
      <c r="H196" s="228"/>
      <c r="I196" s="62">
        <f t="shared" si="40"/>
        <v>0</v>
      </c>
      <c r="J196" s="247"/>
      <c r="K196" s="246"/>
      <c r="L196" s="67">
        <f t="shared" si="41"/>
        <v>206690</v>
      </c>
    </row>
    <row r="197" spans="1:12" x14ac:dyDescent="0.3">
      <c r="A197" s="32"/>
      <c r="B197" s="230"/>
      <c r="C197" s="244"/>
      <c r="D197" s="236"/>
      <c r="E197" s="235"/>
      <c r="F197" s="54">
        <f t="shared" si="39"/>
        <v>982</v>
      </c>
      <c r="G197" s="240"/>
      <c r="H197" s="226"/>
      <c r="I197" s="62">
        <f t="shared" si="40"/>
        <v>0</v>
      </c>
      <c r="J197" s="233"/>
      <c r="K197" s="246"/>
      <c r="L197" s="67">
        <f t="shared" si="41"/>
        <v>206690</v>
      </c>
    </row>
    <row r="198" spans="1:12" x14ac:dyDescent="0.3">
      <c r="A198" s="32"/>
      <c r="B198" s="230"/>
      <c r="C198" s="239"/>
      <c r="D198" s="236"/>
      <c r="E198" s="235"/>
      <c r="F198" s="54">
        <f t="shared" si="39"/>
        <v>982</v>
      </c>
      <c r="G198" s="240"/>
      <c r="H198" s="226"/>
      <c r="I198" s="62">
        <f t="shared" si="40"/>
        <v>0</v>
      </c>
      <c r="J198" s="247"/>
      <c r="K198" s="246"/>
      <c r="L198" s="67">
        <f t="shared" si="41"/>
        <v>206690</v>
      </c>
    </row>
    <row r="199" spans="1:12" x14ac:dyDescent="0.3">
      <c r="A199" s="32"/>
      <c r="B199" s="230"/>
      <c r="C199" s="244"/>
      <c r="D199" s="236"/>
      <c r="E199" s="231"/>
      <c r="F199" s="54">
        <f t="shared" si="39"/>
        <v>982</v>
      </c>
      <c r="G199" s="240"/>
      <c r="H199" s="226"/>
      <c r="I199" s="62">
        <f t="shared" si="40"/>
        <v>0</v>
      </c>
      <c r="J199" s="229"/>
      <c r="K199" s="246"/>
      <c r="L199" s="67">
        <f t="shared" si="41"/>
        <v>206690</v>
      </c>
    </row>
    <row r="200" spans="1:12" x14ac:dyDescent="0.3">
      <c r="A200" s="32"/>
      <c r="B200" s="230"/>
      <c r="C200" s="244"/>
      <c r="D200" s="236"/>
      <c r="E200" s="231"/>
      <c r="F200" s="54">
        <f t="shared" si="39"/>
        <v>982</v>
      </c>
      <c r="G200" s="240"/>
      <c r="H200" s="228"/>
      <c r="I200" s="62">
        <f t="shared" si="40"/>
        <v>0</v>
      </c>
      <c r="J200" s="229"/>
      <c r="K200" s="246"/>
      <c r="L200" s="67">
        <f t="shared" si="41"/>
        <v>206690</v>
      </c>
    </row>
    <row r="201" spans="1:12" x14ac:dyDescent="0.3">
      <c r="A201" s="32"/>
      <c r="B201" s="230"/>
      <c r="C201" s="245"/>
      <c r="D201" s="235"/>
      <c r="E201" s="231"/>
      <c r="F201" s="54">
        <f t="shared" si="39"/>
        <v>982</v>
      </c>
      <c r="G201" s="241"/>
      <c r="H201" s="226"/>
      <c r="I201" s="62">
        <f t="shared" si="40"/>
        <v>0</v>
      </c>
      <c r="J201" s="266"/>
      <c r="K201" s="246"/>
      <c r="L201" s="67">
        <f t="shared" si="41"/>
        <v>206690</v>
      </c>
    </row>
    <row r="202" spans="1:12" x14ac:dyDescent="0.3">
      <c r="A202" s="32"/>
      <c r="B202" s="230"/>
      <c r="C202" s="244"/>
      <c r="D202" s="235"/>
      <c r="E202" s="231"/>
      <c r="F202" s="54">
        <f t="shared" si="39"/>
        <v>982</v>
      </c>
      <c r="G202" s="240"/>
      <c r="H202" s="226"/>
      <c r="I202" s="62">
        <f t="shared" si="40"/>
        <v>0</v>
      </c>
      <c r="J202" s="248"/>
      <c r="K202" s="269"/>
      <c r="L202" s="67">
        <f t="shared" si="41"/>
        <v>206690</v>
      </c>
    </row>
    <row r="203" spans="1:12" x14ac:dyDescent="0.3">
      <c r="A203" s="32"/>
      <c r="B203" s="230"/>
      <c r="C203" s="244"/>
      <c r="D203" s="235"/>
      <c r="E203" s="231"/>
      <c r="F203" s="54">
        <f t="shared" si="39"/>
        <v>982</v>
      </c>
      <c r="G203" s="240"/>
      <c r="H203" s="226"/>
      <c r="I203" s="62">
        <f t="shared" si="40"/>
        <v>0</v>
      </c>
      <c r="J203" s="233"/>
      <c r="K203" s="246"/>
      <c r="L203" s="67">
        <f t="shared" si="41"/>
        <v>206690</v>
      </c>
    </row>
    <row r="204" spans="1:12" x14ac:dyDescent="0.3">
      <c r="A204" s="32"/>
      <c r="B204" s="230"/>
      <c r="C204" s="244"/>
      <c r="D204" s="235"/>
      <c r="E204" s="231"/>
      <c r="F204" s="54">
        <f t="shared" si="39"/>
        <v>982</v>
      </c>
      <c r="G204" s="240"/>
      <c r="H204" s="226"/>
      <c r="I204" s="62">
        <f t="shared" si="40"/>
        <v>0</v>
      </c>
      <c r="J204" s="247"/>
      <c r="K204" s="246"/>
      <c r="L204" s="67">
        <f t="shared" si="41"/>
        <v>206690</v>
      </c>
    </row>
    <row r="205" spans="1:12" x14ac:dyDescent="0.3">
      <c r="A205" s="32"/>
      <c r="B205" s="230"/>
      <c r="C205" s="244"/>
      <c r="D205" s="235"/>
      <c r="E205" s="231"/>
      <c r="F205" s="54">
        <f t="shared" si="39"/>
        <v>982</v>
      </c>
      <c r="G205" s="240"/>
      <c r="H205" s="226"/>
      <c r="I205" s="62">
        <f t="shared" si="40"/>
        <v>0</v>
      </c>
      <c r="J205" s="229"/>
      <c r="K205" s="246"/>
      <c r="L205" s="67">
        <f t="shared" si="41"/>
        <v>206690</v>
      </c>
    </row>
    <row r="206" spans="1:12" x14ac:dyDescent="0.3">
      <c r="A206" s="32"/>
      <c r="B206" s="222"/>
      <c r="C206" s="74"/>
      <c r="D206" s="235"/>
      <c r="E206" s="231"/>
      <c r="F206" s="54">
        <f t="shared" si="39"/>
        <v>982</v>
      </c>
      <c r="G206" s="240"/>
      <c r="H206" s="226"/>
      <c r="I206" s="62">
        <f t="shared" si="40"/>
        <v>0</v>
      </c>
      <c r="J206" s="229"/>
      <c r="K206" s="246"/>
      <c r="L206" s="67">
        <f t="shared" si="41"/>
        <v>206690</v>
      </c>
    </row>
    <row r="207" spans="1:12" x14ac:dyDescent="0.3">
      <c r="A207" s="32"/>
      <c r="B207" s="230"/>
      <c r="C207" s="267"/>
      <c r="D207" s="236"/>
      <c r="E207" s="231"/>
      <c r="F207" s="54">
        <f t="shared" si="39"/>
        <v>982</v>
      </c>
      <c r="G207" s="242"/>
      <c r="H207" s="226"/>
      <c r="I207" s="62">
        <f t="shared" si="40"/>
        <v>0</v>
      </c>
      <c r="J207" s="233"/>
      <c r="K207" s="246"/>
      <c r="L207" s="67">
        <f t="shared" si="41"/>
        <v>206690</v>
      </c>
    </row>
    <row r="208" spans="1:12" x14ac:dyDescent="0.3">
      <c r="A208" s="32"/>
      <c r="B208" s="230"/>
      <c r="C208" s="267"/>
      <c r="D208" s="236"/>
      <c r="E208" s="231"/>
      <c r="F208" s="54">
        <f t="shared" si="39"/>
        <v>982</v>
      </c>
      <c r="G208" s="242"/>
      <c r="H208" s="227"/>
      <c r="I208" s="62">
        <f t="shared" si="40"/>
        <v>0</v>
      </c>
      <c r="J208" s="233"/>
      <c r="K208" s="246"/>
      <c r="L208" s="67">
        <f t="shared" si="41"/>
        <v>206690</v>
      </c>
    </row>
    <row r="209" spans="1:12" x14ac:dyDescent="0.3">
      <c r="A209" s="32"/>
      <c r="B209" s="232"/>
      <c r="C209" s="239"/>
      <c r="D209" s="236"/>
      <c r="E209" s="231"/>
      <c r="F209" s="54">
        <f t="shared" si="39"/>
        <v>982</v>
      </c>
      <c r="G209" s="243"/>
      <c r="H209" s="227"/>
      <c r="I209" s="62">
        <f t="shared" si="40"/>
        <v>0</v>
      </c>
      <c r="J209" s="264"/>
      <c r="K209" s="246"/>
      <c r="L209" s="67">
        <f t="shared" si="41"/>
        <v>206690</v>
      </c>
    </row>
    <row r="210" spans="1:12" x14ac:dyDescent="0.3">
      <c r="A210" s="32"/>
      <c r="B210" s="230"/>
      <c r="C210" s="244"/>
      <c r="D210" s="236"/>
      <c r="E210" s="231"/>
      <c r="F210" s="54">
        <f t="shared" si="39"/>
        <v>982</v>
      </c>
      <c r="G210" s="223"/>
      <c r="H210" s="221"/>
      <c r="I210" s="62">
        <f t="shared" si="40"/>
        <v>0</v>
      </c>
      <c r="J210" s="229"/>
      <c r="K210" s="246"/>
      <c r="L210" s="67">
        <f t="shared" si="41"/>
        <v>206690</v>
      </c>
    </row>
    <row r="211" spans="1:12" x14ac:dyDescent="0.3">
      <c r="A211" s="32"/>
      <c r="B211" s="230"/>
      <c r="C211" s="244"/>
      <c r="D211" s="236"/>
      <c r="E211" s="231"/>
      <c r="F211" s="54">
        <f t="shared" si="39"/>
        <v>982</v>
      </c>
      <c r="G211" s="223"/>
      <c r="H211" s="227"/>
      <c r="I211" s="62">
        <f t="shared" si="40"/>
        <v>0</v>
      </c>
      <c r="J211" s="229"/>
      <c r="K211" s="246"/>
      <c r="L211" s="67">
        <f t="shared" si="41"/>
        <v>206690</v>
      </c>
    </row>
    <row r="212" spans="1:12" x14ac:dyDescent="0.3">
      <c r="A212" s="32"/>
      <c r="B212" s="234"/>
      <c r="C212" s="245"/>
      <c r="D212" s="235"/>
      <c r="E212" s="39"/>
      <c r="F212" s="54">
        <f t="shared" si="39"/>
        <v>982</v>
      </c>
      <c r="G212" s="223"/>
      <c r="H212" s="227"/>
      <c r="I212" s="62">
        <f t="shared" si="40"/>
        <v>0</v>
      </c>
      <c r="J212" s="247"/>
      <c r="K212" s="246"/>
      <c r="L212" s="67">
        <f t="shared" si="41"/>
        <v>206690</v>
      </c>
    </row>
    <row r="213" spans="1:12" x14ac:dyDescent="0.3">
      <c r="A213" s="32"/>
      <c r="B213" s="234"/>
      <c r="C213" s="245"/>
      <c r="D213" s="235"/>
      <c r="E213" s="39"/>
      <c r="F213" s="54">
        <f t="shared" si="39"/>
        <v>982</v>
      </c>
      <c r="G213" s="223"/>
      <c r="H213" s="227"/>
      <c r="I213" s="62">
        <f t="shared" si="40"/>
        <v>0</v>
      </c>
      <c r="J213" s="65"/>
      <c r="K213" s="246"/>
      <c r="L213" s="67">
        <f t="shared" si="41"/>
        <v>206690</v>
      </c>
    </row>
    <row r="214" spans="1:12" x14ac:dyDescent="0.3">
      <c r="A214" s="32"/>
      <c r="B214" s="222"/>
      <c r="C214" s="245"/>
      <c r="D214" s="231"/>
      <c r="E214" s="231"/>
      <c r="F214" s="54">
        <f t="shared" si="39"/>
        <v>982</v>
      </c>
      <c r="G214" s="223"/>
      <c r="H214" s="227"/>
      <c r="I214" s="62">
        <f t="shared" si="40"/>
        <v>0</v>
      </c>
      <c r="J214" s="229"/>
      <c r="K214" s="246"/>
      <c r="L214" s="67">
        <f t="shared" si="41"/>
        <v>206690</v>
      </c>
    </row>
    <row r="215" spans="1:12" x14ac:dyDescent="0.3">
      <c r="A215" s="32"/>
      <c r="B215" s="232"/>
      <c r="C215" s="244"/>
      <c r="D215" s="235"/>
      <c r="E215" s="231"/>
      <c r="F215" s="54">
        <f t="shared" si="39"/>
        <v>982</v>
      </c>
      <c r="G215" s="223"/>
      <c r="H215" s="227"/>
      <c r="I215" s="62">
        <f t="shared" si="40"/>
        <v>0</v>
      </c>
      <c r="J215" s="233"/>
      <c r="K215" s="246"/>
      <c r="L215" s="67">
        <f t="shared" si="41"/>
        <v>206690</v>
      </c>
    </row>
    <row r="216" spans="1:12" x14ac:dyDescent="0.3">
      <c r="A216" s="32"/>
      <c r="B216" s="232"/>
      <c r="C216" s="244"/>
      <c r="D216" s="235"/>
      <c r="E216" s="83"/>
      <c r="F216" s="54">
        <f t="shared" si="39"/>
        <v>982</v>
      </c>
      <c r="G216" s="223"/>
      <c r="H216" s="227"/>
      <c r="I216" s="62">
        <f t="shared" si="40"/>
        <v>0</v>
      </c>
      <c r="J216" s="248"/>
      <c r="K216" s="246"/>
      <c r="L216" s="67">
        <f t="shared" si="41"/>
        <v>206690</v>
      </c>
    </row>
    <row r="217" spans="1:12" x14ac:dyDescent="0.3">
      <c r="A217" s="32"/>
      <c r="B217" s="232"/>
      <c r="C217" s="245"/>
      <c r="D217" s="235"/>
      <c r="E217" s="231"/>
      <c r="F217" s="54">
        <f t="shared" si="39"/>
        <v>982</v>
      </c>
      <c r="G217" s="223"/>
      <c r="H217" s="227"/>
      <c r="I217" s="62">
        <f t="shared" si="40"/>
        <v>0</v>
      </c>
      <c r="J217" s="248"/>
      <c r="K217" s="246"/>
      <c r="L217" s="67">
        <f t="shared" si="41"/>
        <v>206690</v>
      </c>
    </row>
    <row r="218" spans="1:12" x14ac:dyDescent="0.3">
      <c r="A218" s="32"/>
      <c r="B218" s="232"/>
      <c r="C218" s="245"/>
      <c r="D218" s="237"/>
      <c r="E218" s="231"/>
      <c r="F218" s="54">
        <f t="shared" si="39"/>
        <v>982</v>
      </c>
      <c r="G218" s="223"/>
      <c r="H218" s="227"/>
      <c r="I218" s="62">
        <f t="shared" si="40"/>
        <v>0</v>
      </c>
      <c r="J218" s="248"/>
      <c r="K218" s="246"/>
      <c r="L218" s="67">
        <f t="shared" si="41"/>
        <v>206690</v>
      </c>
    </row>
    <row r="219" spans="1:12" x14ac:dyDescent="0.3">
      <c r="A219" s="32"/>
      <c r="B219" s="230"/>
      <c r="C219" s="244"/>
      <c r="D219" s="237"/>
      <c r="E219" s="83"/>
      <c r="F219" s="54">
        <f t="shared" si="39"/>
        <v>982</v>
      </c>
      <c r="G219" s="223"/>
      <c r="H219" s="227"/>
      <c r="I219" s="62">
        <f t="shared" si="40"/>
        <v>0</v>
      </c>
      <c r="J219" s="248"/>
      <c r="K219" s="246"/>
      <c r="L219" s="67">
        <f t="shared" si="41"/>
        <v>206690</v>
      </c>
    </row>
    <row r="220" spans="1:12" x14ac:dyDescent="0.3">
      <c r="A220" s="32"/>
      <c r="B220" s="232"/>
      <c r="C220" s="74"/>
      <c r="D220" s="118"/>
      <c r="E220" s="83"/>
      <c r="F220" s="54">
        <f t="shared" si="39"/>
        <v>982</v>
      </c>
      <c r="G220" s="223"/>
      <c r="H220" s="227"/>
      <c r="I220" s="62">
        <f t="shared" si="40"/>
        <v>0</v>
      </c>
      <c r="J220" s="229"/>
      <c r="K220" s="246"/>
      <c r="L220" s="67">
        <f t="shared" si="41"/>
        <v>206690</v>
      </c>
    </row>
    <row r="221" spans="1:12" x14ac:dyDescent="0.3">
      <c r="A221" s="32"/>
      <c r="B221" s="232"/>
      <c r="C221" s="267"/>
      <c r="D221" s="236"/>
      <c r="E221" s="231"/>
      <c r="F221" s="54">
        <f>+F220+C221+D221-E221</f>
        <v>982</v>
      </c>
      <c r="G221" s="240"/>
      <c r="H221" s="226">
        <v>0</v>
      </c>
      <c r="I221" s="62">
        <f>I220++G221-H221</f>
        <v>0</v>
      </c>
      <c r="J221" s="233"/>
      <c r="K221" s="246"/>
      <c r="L221" s="67">
        <f>L220++J221-K221</f>
        <v>206690</v>
      </c>
    </row>
    <row r="222" spans="1:12" x14ac:dyDescent="0.3">
      <c r="A222" s="32"/>
      <c r="B222" s="230"/>
      <c r="C222" s="244"/>
      <c r="D222" s="236"/>
      <c r="E222" s="231"/>
      <c r="F222" s="54">
        <f t="shared" ref="F222:F228" si="42">+F221+C222+D222-E222</f>
        <v>982</v>
      </c>
      <c r="G222" s="241"/>
      <c r="H222" s="226"/>
      <c r="I222" s="62">
        <f t="shared" ref="I222:I228" si="43">I221++G222-H222</f>
        <v>0</v>
      </c>
      <c r="J222" s="233"/>
      <c r="K222" s="246"/>
      <c r="L222" s="67">
        <f t="shared" ref="L222:L228" si="44">L221++J222-K222</f>
        <v>206690</v>
      </c>
    </row>
    <row r="223" spans="1:12" x14ac:dyDescent="0.3">
      <c r="A223" s="32"/>
      <c r="B223" s="230"/>
      <c r="C223" s="267"/>
      <c r="D223" s="236"/>
      <c r="E223" s="235"/>
      <c r="F223" s="54">
        <f t="shared" si="42"/>
        <v>982</v>
      </c>
      <c r="G223" s="240"/>
      <c r="H223" s="228"/>
      <c r="I223" s="62">
        <f t="shared" si="43"/>
        <v>0</v>
      </c>
      <c r="J223" s="247"/>
      <c r="K223" s="246"/>
      <c r="L223" s="67">
        <f t="shared" si="44"/>
        <v>206690</v>
      </c>
    </row>
    <row r="224" spans="1:12" x14ac:dyDescent="0.3">
      <c r="A224" s="32"/>
      <c r="B224" s="230"/>
      <c r="C224" s="244"/>
      <c r="D224" s="236"/>
      <c r="E224" s="235"/>
      <c r="F224" s="54">
        <f t="shared" si="42"/>
        <v>982</v>
      </c>
      <c r="G224" s="240"/>
      <c r="H224" s="226"/>
      <c r="I224" s="62">
        <f t="shared" si="43"/>
        <v>0</v>
      </c>
      <c r="J224" s="233"/>
      <c r="K224" s="246"/>
      <c r="L224" s="67">
        <f t="shared" si="44"/>
        <v>206690</v>
      </c>
    </row>
    <row r="225" spans="1:12" x14ac:dyDescent="0.3">
      <c r="A225" s="32"/>
      <c r="B225" s="230"/>
      <c r="C225" s="239"/>
      <c r="D225" s="236"/>
      <c r="E225" s="235"/>
      <c r="F225" s="54">
        <f t="shared" si="42"/>
        <v>982</v>
      </c>
      <c r="G225" s="240"/>
      <c r="H225" s="226"/>
      <c r="I225" s="62">
        <f t="shared" si="43"/>
        <v>0</v>
      </c>
      <c r="J225" s="247"/>
      <c r="K225" s="246"/>
      <c r="L225" s="67">
        <f t="shared" si="44"/>
        <v>206690</v>
      </c>
    </row>
    <row r="226" spans="1:12" x14ac:dyDescent="0.3">
      <c r="A226" s="32"/>
      <c r="B226" s="230"/>
      <c r="C226" s="244"/>
      <c r="D226" s="236"/>
      <c r="E226" s="231"/>
      <c r="F226" s="54">
        <f t="shared" si="42"/>
        <v>982</v>
      </c>
      <c r="G226" s="240"/>
      <c r="H226" s="226"/>
      <c r="I226" s="62">
        <f t="shared" si="43"/>
        <v>0</v>
      </c>
      <c r="J226" s="229"/>
      <c r="K226" s="246"/>
      <c r="L226" s="67">
        <f t="shared" si="44"/>
        <v>206690</v>
      </c>
    </row>
    <row r="227" spans="1:12" x14ac:dyDescent="0.3">
      <c r="A227" s="32"/>
      <c r="B227" s="230"/>
      <c r="C227" s="244"/>
      <c r="D227" s="236"/>
      <c r="E227" s="231"/>
      <c r="F227" s="54">
        <f t="shared" si="42"/>
        <v>982</v>
      </c>
      <c r="G227" s="240"/>
      <c r="H227" s="228"/>
      <c r="I227" s="62">
        <f t="shared" si="43"/>
        <v>0</v>
      </c>
      <c r="J227" s="229"/>
      <c r="K227" s="246"/>
      <c r="L227" s="67">
        <f t="shared" si="44"/>
        <v>206690</v>
      </c>
    </row>
    <row r="228" spans="1:12" x14ac:dyDescent="0.3">
      <c r="A228" s="32"/>
      <c r="B228" s="230"/>
      <c r="C228" s="245"/>
      <c r="D228" s="235"/>
      <c r="E228" s="231"/>
      <c r="F228" s="54">
        <f t="shared" si="42"/>
        <v>982</v>
      </c>
      <c r="G228" s="241"/>
      <c r="H228" s="226"/>
      <c r="I228" s="62">
        <f t="shared" si="43"/>
        <v>0</v>
      </c>
      <c r="J228" s="266"/>
      <c r="K228" s="246"/>
      <c r="L228" s="67">
        <f t="shared" si="44"/>
        <v>206690</v>
      </c>
    </row>
    <row r="229" spans="1:12" x14ac:dyDescent="0.3">
      <c r="A229" s="32"/>
      <c r="B229" s="230"/>
      <c r="C229" s="267"/>
      <c r="D229" s="236"/>
      <c r="E229" s="231"/>
      <c r="F229" s="54">
        <f>+F228+C229+D229-E229</f>
        <v>982</v>
      </c>
      <c r="G229" s="240"/>
      <c r="H229" s="226">
        <v>0</v>
      </c>
      <c r="I229" s="62">
        <f>I228++G229-H229</f>
        <v>0</v>
      </c>
      <c r="J229" s="233"/>
      <c r="K229" s="246"/>
      <c r="L229" s="67">
        <f>L228++J229-K229</f>
        <v>206690</v>
      </c>
    </row>
    <row r="230" spans="1:12" x14ac:dyDescent="0.3">
      <c r="A230" s="32"/>
      <c r="B230" s="230"/>
      <c r="C230" s="244"/>
      <c r="D230" s="236"/>
      <c r="E230" s="231"/>
      <c r="F230" s="54">
        <f t="shared" ref="F230:F236" si="45">+F229+C230+D230-E230</f>
        <v>982</v>
      </c>
      <c r="G230" s="241"/>
      <c r="H230" s="226"/>
      <c r="I230" s="62">
        <f t="shared" ref="I230:I236" si="46">I229++G230-H230</f>
        <v>0</v>
      </c>
      <c r="J230" s="233"/>
      <c r="K230" s="246"/>
      <c r="L230" s="67">
        <f t="shared" ref="L230:L236" si="47">L229++J230-K230</f>
        <v>206690</v>
      </c>
    </row>
    <row r="231" spans="1:12" x14ac:dyDescent="0.3">
      <c r="A231" s="32"/>
      <c r="B231" s="230"/>
      <c r="C231" s="267"/>
      <c r="D231" s="236"/>
      <c r="E231" s="235"/>
      <c r="F231" s="54">
        <f t="shared" si="45"/>
        <v>982</v>
      </c>
      <c r="G231" s="240"/>
      <c r="H231" s="228"/>
      <c r="I231" s="62">
        <f t="shared" si="46"/>
        <v>0</v>
      </c>
      <c r="J231" s="247"/>
      <c r="K231" s="246"/>
      <c r="L231" s="67">
        <f t="shared" si="47"/>
        <v>206690</v>
      </c>
    </row>
    <row r="232" spans="1:12" x14ac:dyDescent="0.3">
      <c r="A232" s="32"/>
      <c r="B232" s="230"/>
      <c r="C232" s="244"/>
      <c r="D232" s="236"/>
      <c r="E232" s="235"/>
      <c r="F232" s="54">
        <f t="shared" si="45"/>
        <v>982</v>
      </c>
      <c r="G232" s="240"/>
      <c r="H232" s="226"/>
      <c r="I232" s="62">
        <f t="shared" si="46"/>
        <v>0</v>
      </c>
      <c r="J232" s="233"/>
      <c r="K232" s="246"/>
      <c r="L232" s="67">
        <f t="shared" si="47"/>
        <v>206690</v>
      </c>
    </row>
    <row r="233" spans="1:12" x14ac:dyDescent="0.3">
      <c r="A233" s="32"/>
      <c r="B233" s="230"/>
      <c r="C233" s="239"/>
      <c r="D233" s="236"/>
      <c r="E233" s="235"/>
      <c r="F233" s="54">
        <f t="shared" si="45"/>
        <v>982</v>
      </c>
      <c r="G233" s="240"/>
      <c r="H233" s="226"/>
      <c r="I233" s="62">
        <f t="shared" si="46"/>
        <v>0</v>
      </c>
      <c r="J233" s="247"/>
      <c r="K233" s="246"/>
      <c r="L233" s="67">
        <f t="shared" si="47"/>
        <v>206690</v>
      </c>
    </row>
    <row r="234" spans="1:12" x14ac:dyDescent="0.3">
      <c r="A234" s="32"/>
      <c r="B234" s="230"/>
      <c r="C234" s="244"/>
      <c r="D234" s="236"/>
      <c r="E234" s="231"/>
      <c r="F234" s="54">
        <f t="shared" si="45"/>
        <v>982</v>
      </c>
      <c r="G234" s="240"/>
      <c r="H234" s="226"/>
      <c r="I234" s="62">
        <f t="shared" si="46"/>
        <v>0</v>
      </c>
      <c r="J234" s="229"/>
      <c r="K234" s="246"/>
      <c r="L234" s="67">
        <f t="shared" si="47"/>
        <v>206690</v>
      </c>
    </row>
    <row r="235" spans="1:12" x14ac:dyDescent="0.3">
      <c r="A235" s="32"/>
      <c r="B235" s="222"/>
      <c r="C235" s="244"/>
      <c r="D235" s="236"/>
      <c r="E235" s="231"/>
      <c r="F235" s="54">
        <f t="shared" si="45"/>
        <v>982</v>
      </c>
      <c r="G235" s="240"/>
      <c r="H235" s="228"/>
      <c r="I235" s="62">
        <f t="shared" si="46"/>
        <v>0</v>
      </c>
      <c r="J235" s="229"/>
      <c r="K235" s="246"/>
      <c r="L235" s="67">
        <f t="shared" si="47"/>
        <v>206690</v>
      </c>
    </row>
    <row r="236" spans="1:12" x14ac:dyDescent="0.3">
      <c r="A236" s="32"/>
      <c r="B236" s="230"/>
      <c r="C236" s="245"/>
      <c r="D236" s="235"/>
      <c r="E236" s="231"/>
      <c r="F236" s="54">
        <f t="shared" si="45"/>
        <v>982</v>
      </c>
      <c r="G236" s="241"/>
      <c r="H236" s="226"/>
      <c r="I236" s="62">
        <f t="shared" si="46"/>
        <v>0</v>
      </c>
      <c r="J236" s="266"/>
      <c r="K236" s="246"/>
      <c r="L236" s="67">
        <f t="shared" si="47"/>
        <v>206690</v>
      </c>
    </row>
    <row r="237" spans="1:12" x14ac:dyDescent="0.3">
      <c r="A237" s="32"/>
      <c r="B237" s="230"/>
      <c r="C237" s="267"/>
      <c r="D237" s="236"/>
      <c r="E237" s="231"/>
      <c r="F237" s="54">
        <f>+F236+C237+D237-E237</f>
        <v>982</v>
      </c>
      <c r="G237" s="240"/>
      <c r="H237" s="226">
        <v>0</v>
      </c>
      <c r="I237" s="62">
        <f>I236++G237-H237</f>
        <v>0</v>
      </c>
      <c r="J237" s="233"/>
      <c r="K237" s="246"/>
      <c r="L237" s="67">
        <f>L236++J237-K237</f>
        <v>206690</v>
      </c>
    </row>
    <row r="238" spans="1:12" x14ac:dyDescent="0.3">
      <c r="A238" s="32"/>
      <c r="B238" s="230"/>
      <c r="C238" s="244"/>
      <c r="D238" s="236"/>
      <c r="E238" s="231"/>
      <c r="F238" s="54">
        <f t="shared" ref="F238:F246" si="48">+F237+C238+D238-E238</f>
        <v>982</v>
      </c>
      <c r="G238" s="241"/>
      <c r="H238" s="226"/>
      <c r="I238" s="62">
        <f t="shared" ref="I238:I246" si="49">I237++G238-H238</f>
        <v>0</v>
      </c>
      <c r="J238" s="233"/>
      <c r="K238" s="246"/>
      <c r="L238" s="67">
        <f t="shared" ref="L238:L246" si="50">L237++J238-K238</f>
        <v>206690</v>
      </c>
    </row>
    <row r="239" spans="1:12" x14ac:dyDescent="0.3">
      <c r="A239" s="32"/>
      <c r="B239" s="230"/>
      <c r="C239" s="267"/>
      <c r="D239" s="236"/>
      <c r="E239" s="235"/>
      <c r="F239" s="54">
        <f t="shared" si="48"/>
        <v>982</v>
      </c>
      <c r="G239" s="240"/>
      <c r="H239" s="228"/>
      <c r="I239" s="62">
        <f t="shared" si="49"/>
        <v>0</v>
      </c>
      <c r="J239" s="247"/>
      <c r="K239" s="246"/>
      <c r="L239" s="67">
        <f t="shared" si="50"/>
        <v>206690</v>
      </c>
    </row>
    <row r="240" spans="1:12" x14ac:dyDescent="0.3">
      <c r="A240" s="32"/>
      <c r="B240" s="230"/>
      <c r="C240" s="244"/>
      <c r="D240" s="236"/>
      <c r="E240" s="235"/>
      <c r="F240" s="54">
        <f t="shared" si="48"/>
        <v>982</v>
      </c>
      <c r="G240" s="240"/>
      <c r="H240" s="226"/>
      <c r="I240" s="62">
        <f t="shared" si="49"/>
        <v>0</v>
      </c>
      <c r="J240" s="233"/>
      <c r="K240" s="246"/>
      <c r="L240" s="67">
        <f t="shared" si="50"/>
        <v>206690</v>
      </c>
    </row>
    <row r="241" spans="1:12" x14ac:dyDescent="0.3">
      <c r="A241" s="32"/>
      <c r="B241" s="230"/>
      <c r="C241" s="239"/>
      <c r="D241" s="236"/>
      <c r="E241" s="235"/>
      <c r="F241" s="54">
        <f t="shared" si="48"/>
        <v>982</v>
      </c>
      <c r="G241" s="240"/>
      <c r="H241" s="226"/>
      <c r="I241" s="62">
        <f t="shared" si="49"/>
        <v>0</v>
      </c>
      <c r="J241" s="247"/>
      <c r="K241" s="246"/>
      <c r="L241" s="67">
        <f t="shared" si="50"/>
        <v>206690</v>
      </c>
    </row>
    <row r="242" spans="1:12" x14ac:dyDescent="0.3">
      <c r="A242" s="32"/>
      <c r="B242" s="230"/>
      <c r="C242" s="244"/>
      <c r="D242" s="236"/>
      <c r="E242" s="231"/>
      <c r="F242" s="54">
        <f t="shared" si="48"/>
        <v>982</v>
      </c>
      <c r="G242" s="240"/>
      <c r="H242" s="226"/>
      <c r="I242" s="62">
        <f t="shared" si="49"/>
        <v>0</v>
      </c>
      <c r="J242" s="229"/>
      <c r="K242" s="246"/>
      <c r="L242" s="67">
        <f t="shared" si="50"/>
        <v>206690</v>
      </c>
    </row>
    <row r="243" spans="1:12" x14ac:dyDescent="0.3">
      <c r="A243" s="32"/>
      <c r="B243" s="230"/>
      <c r="C243" s="244"/>
      <c r="D243" s="236"/>
      <c r="E243" s="231"/>
      <c r="F243" s="54">
        <f t="shared" si="48"/>
        <v>982</v>
      </c>
      <c r="G243" s="240"/>
      <c r="H243" s="228"/>
      <c r="I243" s="62">
        <f t="shared" si="49"/>
        <v>0</v>
      </c>
      <c r="J243" s="229"/>
      <c r="K243" s="246"/>
      <c r="L243" s="67">
        <f t="shared" si="50"/>
        <v>206690</v>
      </c>
    </row>
    <row r="244" spans="1:12" x14ac:dyDescent="0.3">
      <c r="A244" s="32"/>
      <c r="B244" s="230"/>
      <c r="C244" s="245"/>
      <c r="D244" s="235"/>
      <c r="E244" s="231"/>
      <c r="F244" s="54">
        <f t="shared" si="48"/>
        <v>982</v>
      </c>
      <c r="G244" s="241"/>
      <c r="H244" s="226"/>
      <c r="I244" s="62">
        <f t="shared" si="49"/>
        <v>0</v>
      </c>
      <c r="J244" s="266"/>
      <c r="K244" s="246"/>
      <c r="L244" s="67">
        <f t="shared" si="50"/>
        <v>206690</v>
      </c>
    </row>
    <row r="245" spans="1:12" x14ac:dyDescent="0.3">
      <c r="A245" s="32"/>
      <c r="B245" s="230"/>
      <c r="C245" s="244"/>
      <c r="D245" s="235"/>
      <c r="E245" s="231"/>
      <c r="F245" s="54">
        <f t="shared" si="48"/>
        <v>982</v>
      </c>
      <c r="G245" s="240"/>
      <c r="H245" s="226"/>
      <c r="I245" s="62">
        <f t="shared" si="49"/>
        <v>0</v>
      </c>
      <c r="J245" s="248"/>
      <c r="K245" s="269"/>
      <c r="L245" s="67">
        <f t="shared" si="50"/>
        <v>206690</v>
      </c>
    </row>
    <row r="246" spans="1:12" x14ac:dyDescent="0.3">
      <c r="A246" s="32"/>
      <c r="B246" s="232"/>
      <c r="C246" s="244"/>
      <c r="D246" s="235"/>
      <c r="E246" s="231"/>
      <c r="F246" s="54">
        <f t="shared" si="48"/>
        <v>982</v>
      </c>
      <c r="G246" s="240"/>
      <c r="H246" s="226"/>
      <c r="I246" s="62">
        <f t="shared" si="49"/>
        <v>0</v>
      </c>
      <c r="J246" s="233"/>
      <c r="K246" s="246"/>
      <c r="L246" s="67">
        <f t="shared" si="50"/>
        <v>206690</v>
      </c>
    </row>
    <row r="247" spans="1:12" x14ac:dyDescent="0.3">
      <c r="A247" s="32"/>
      <c r="B247" s="230"/>
      <c r="C247" s="267"/>
      <c r="D247" s="236"/>
      <c r="E247" s="231"/>
      <c r="F247" s="54">
        <f>+F246+C247+D247-E247</f>
        <v>982</v>
      </c>
      <c r="G247" s="240"/>
      <c r="H247" s="226">
        <v>0</v>
      </c>
      <c r="I247" s="62">
        <f>I246++G247-H247</f>
        <v>0</v>
      </c>
      <c r="J247" s="233"/>
      <c r="K247" s="246"/>
      <c r="L247" s="67">
        <f>L246++J247-K247</f>
        <v>206690</v>
      </c>
    </row>
    <row r="248" spans="1:12" x14ac:dyDescent="0.3">
      <c r="A248" s="32"/>
      <c r="B248" s="230"/>
      <c r="C248" s="244"/>
      <c r="D248" s="236"/>
      <c r="E248" s="231"/>
      <c r="F248" s="54">
        <f t="shared" ref="F248:F260" si="51">+F247+C248+D248-E248</f>
        <v>982</v>
      </c>
      <c r="G248" s="241"/>
      <c r="H248" s="226"/>
      <c r="I248" s="62">
        <f t="shared" ref="I248:I260" si="52">I247++G248-H248</f>
        <v>0</v>
      </c>
      <c r="J248" s="233"/>
      <c r="K248" s="246"/>
      <c r="L248" s="67">
        <f t="shared" ref="L248:L260" si="53">L247++J248-K248</f>
        <v>206690</v>
      </c>
    </row>
    <row r="249" spans="1:12" x14ac:dyDescent="0.3">
      <c r="A249" s="32"/>
      <c r="B249" s="230"/>
      <c r="C249" s="267"/>
      <c r="D249" s="236"/>
      <c r="E249" s="235"/>
      <c r="F249" s="54">
        <f t="shared" si="51"/>
        <v>982</v>
      </c>
      <c r="G249" s="240"/>
      <c r="H249" s="228"/>
      <c r="I249" s="62">
        <f t="shared" si="52"/>
        <v>0</v>
      </c>
      <c r="J249" s="247"/>
      <c r="K249" s="246"/>
      <c r="L249" s="67">
        <f t="shared" si="53"/>
        <v>206690</v>
      </c>
    </row>
    <row r="250" spans="1:12" x14ac:dyDescent="0.3">
      <c r="A250" s="32"/>
      <c r="B250" s="234"/>
      <c r="C250" s="244"/>
      <c r="D250" s="236"/>
      <c r="E250" s="235"/>
      <c r="F250" s="54">
        <f t="shared" si="51"/>
        <v>982</v>
      </c>
      <c r="G250" s="240"/>
      <c r="H250" s="226"/>
      <c r="I250" s="62">
        <f t="shared" si="52"/>
        <v>0</v>
      </c>
      <c r="J250" s="233"/>
      <c r="K250" s="246"/>
      <c r="L250" s="67">
        <f t="shared" si="53"/>
        <v>206690</v>
      </c>
    </row>
    <row r="251" spans="1:12" x14ac:dyDescent="0.3">
      <c r="A251" s="32"/>
      <c r="B251" s="234"/>
      <c r="C251" s="239"/>
      <c r="D251" s="236"/>
      <c r="E251" s="235"/>
      <c r="F251" s="54">
        <f t="shared" si="51"/>
        <v>982</v>
      </c>
      <c r="G251" s="240"/>
      <c r="H251" s="226"/>
      <c r="I251" s="62">
        <f t="shared" si="52"/>
        <v>0</v>
      </c>
      <c r="J251" s="247"/>
      <c r="K251" s="246"/>
      <c r="L251" s="67">
        <f t="shared" si="53"/>
        <v>206690</v>
      </c>
    </row>
    <row r="252" spans="1:12" x14ac:dyDescent="0.3">
      <c r="A252" s="32"/>
      <c r="B252" s="234"/>
      <c r="C252" s="244"/>
      <c r="D252" s="236"/>
      <c r="E252" s="231"/>
      <c r="F252" s="54">
        <f t="shared" si="51"/>
        <v>982</v>
      </c>
      <c r="G252" s="240"/>
      <c r="H252" s="226"/>
      <c r="I252" s="62">
        <f t="shared" si="52"/>
        <v>0</v>
      </c>
      <c r="J252" s="229"/>
      <c r="K252" s="246"/>
      <c r="L252" s="67">
        <f t="shared" si="53"/>
        <v>206690</v>
      </c>
    </row>
    <row r="253" spans="1:12" x14ac:dyDescent="0.3">
      <c r="A253" s="32"/>
      <c r="B253" s="232"/>
      <c r="C253" s="244"/>
      <c r="D253" s="236"/>
      <c r="E253" s="231"/>
      <c r="F253" s="54">
        <f t="shared" si="51"/>
        <v>982</v>
      </c>
      <c r="G253" s="240"/>
      <c r="H253" s="228"/>
      <c r="I253" s="62">
        <f t="shared" si="52"/>
        <v>0</v>
      </c>
      <c r="J253" s="229"/>
      <c r="K253" s="246"/>
      <c r="L253" s="67">
        <f t="shared" si="53"/>
        <v>206690</v>
      </c>
    </row>
    <row r="254" spans="1:12" x14ac:dyDescent="0.3">
      <c r="A254" s="32"/>
      <c r="B254" s="230"/>
      <c r="C254" s="244"/>
      <c r="D254" s="235"/>
      <c r="E254" s="231"/>
      <c r="F254" s="54">
        <f t="shared" si="51"/>
        <v>982</v>
      </c>
      <c r="G254" s="241"/>
      <c r="H254" s="226"/>
      <c r="I254" s="62">
        <f t="shared" si="52"/>
        <v>0</v>
      </c>
      <c r="J254" s="266"/>
      <c r="K254" s="246"/>
      <c r="L254" s="67">
        <f t="shared" si="53"/>
        <v>206690</v>
      </c>
    </row>
    <row r="255" spans="1:12" x14ac:dyDescent="0.3">
      <c r="A255" s="32"/>
      <c r="B255" s="222"/>
      <c r="C255" s="244"/>
      <c r="D255" s="235"/>
      <c r="E255" s="231"/>
      <c r="F255" s="54">
        <f t="shared" si="51"/>
        <v>982</v>
      </c>
      <c r="G255" s="240"/>
      <c r="H255" s="226"/>
      <c r="I255" s="62">
        <f t="shared" si="52"/>
        <v>0</v>
      </c>
      <c r="J255" s="248"/>
      <c r="K255" s="269"/>
      <c r="L255" s="67">
        <f t="shared" si="53"/>
        <v>206690</v>
      </c>
    </row>
    <row r="256" spans="1:12" x14ac:dyDescent="0.3">
      <c r="A256" s="32"/>
      <c r="B256" s="222"/>
      <c r="C256" s="244"/>
      <c r="D256" s="235"/>
      <c r="E256" s="224"/>
      <c r="F256" s="54">
        <f t="shared" si="51"/>
        <v>982</v>
      </c>
      <c r="G256" s="240"/>
      <c r="H256" s="226"/>
      <c r="I256" s="62">
        <f t="shared" si="52"/>
        <v>0</v>
      </c>
      <c r="J256" s="233"/>
      <c r="K256" s="246"/>
      <c r="L256" s="67">
        <f t="shared" si="53"/>
        <v>206690</v>
      </c>
    </row>
    <row r="257" spans="1:12" x14ac:dyDescent="0.3">
      <c r="A257" s="32"/>
      <c r="B257" s="230"/>
      <c r="C257" s="244"/>
      <c r="D257" s="235"/>
      <c r="E257" s="231"/>
      <c r="F257" s="54">
        <f t="shared" si="51"/>
        <v>982</v>
      </c>
      <c r="G257" s="240"/>
      <c r="H257" s="226"/>
      <c r="I257" s="62">
        <f t="shared" si="52"/>
        <v>0</v>
      </c>
      <c r="J257" s="247"/>
      <c r="K257" s="246"/>
      <c r="L257" s="67">
        <f t="shared" si="53"/>
        <v>206690</v>
      </c>
    </row>
    <row r="258" spans="1:12" x14ac:dyDescent="0.3">
      <c r="A258" s="32"/>
      <c r="B258" s="230"/>
      <c r="C258" s="244"/>
      <c r="D258" s="235"/>
      <c r="E258" s="231"/>
      <c r="F258" s="54">
        <f t="shared" si="51"/>
        <v>982</v>
      </c>
      <c r="G258" s="240"/>
      <c r="H258" s="226"/>
      <c r="I258" s="62">
        <f t="shared" si="52"/>
        <v>0</v>
      </c>
      <c r="J258" s="229"/>
      <c r="K258" s="246"/>
      <c r="L258" s="67">
        <f t="shared" si="53"/>
        <v>206690</v>
      </c>
    </row>
    <row r="259" spans="1:12" x14ac:dyDescent="0.3">
      <c r="A259" s="32"/>
      <c r="B259" s="230"/>
      <c r="C259" s="74"/>
      <c r="D259" s="235"/>
      <c r="E259" s="231"/>
      <c r="F259" s="54">
        <f t="shared" si="51"/>
        <v>982</v>
      </c>
      <c r="G259" s="240"/>
      <c r="H259" s="226"/>
      <c r="I259" s="62">
        <f t="shared" si="52"/>
        <v>0</v>
      </c>
      <c r="J259" s="229"/>
      <c r="K259" s="246"/>
      <c r="L259" s="67">
        <f t="shared" si="53"/>
        <v>206690</v>
      </c>
    </row>
    <row r="260" spans="1:12" x14ac:dyDescent="0.3">
      <c r="A260" s="32"/>
      <c r="B260" s="230"/>
      <c r="C260" s="267"/>
      <c r="D260" s="236"/>
      <c r="E260" s="231"/>
      <c r="F260" s="54">
        <f t="shared" si="51"/>
        <v>982</v>
      </c>
      <c r="G260" s="242"/>
      <c r="H260" s="226"/>
      <c r="I260" s="62">
        <f t="shared" si="52"/>
        <v>0</v>
      </c>
      <c r="J260" s="233"/>
      <c r="K260" s="246"/>
      <c r="L260" s="67">
        <f t="shared" si="53"/>
        <v>206690</v>
      </c>
    </row>
    <row r="261" spans="1:12" x14ac:dyDescent="0.3">
      <c r="A261" s="32"/>
      <c r="B261" s="234"/>
      <c r="C261" s="244"/>
      <c r="D261" s="236"/>
      <c r="E261" s="231"/>
      <c r="F261" s="54">
        <f>+F260+C261+D261-E261</f>
        <v>982</v>
      </c>
      <c r="G261" s="240"/>
      <c r="H261" s="226">
        <v>0</v>
      </c>
      <c r="I261" s="62">
        <f>I260++G261-H261</f>
        <v>0</v>
      </c>
      <c r="J261" s="233"/>
      <c r="K261" s="246"/>
      <c r="L261" s="67">
        <f>L260++J261-K261</f>
        <v>206690</v>
      </c>
    </row>
    <row r="262" spans="1:12" x14ac:dyDescent="0.3">
      <c r="A262" s="32"/>
      <c r="B262" s="230"/>
      <c r="C262" s="244"/>
      <c r="D262" s="236"/>
      <c r="E262" s="231"/>
      <c r="F262" s="54">
        <f t="shared" ref="F262:F276" si="54">+F261+C262+D262-E262</f>
        <v>982</v>
      </c>
      <c r="G262" s="241"/>
      <c r="H262" s="226"/>
      <c r="I262" s="62">
        <f t="shared" ref="I262:I276" si="55">I261++G262-H262</f>
        <v>0</v>
      </c>
      <c r="J262" s="233"/>
      <c r="K262" s="246"/>
      <c r="L262" s="67">
        <f t="shared" ref="L262:L276" si="56">L261++J262-K262</f>
        <v>206690</v>
      </c>
    </row>
    <row r="263" spans="1:12" x14ac:dyDescent="0.3">
      <c r="A263" s="32"/>
      <c r="B263" s="230"/>
      <c r="C263" s="267"/>
      <c r="D263" s="236"/>
      <c r="E263" s="235"/>
      <c r="F263" s="54">
        <f t="shared" si="54"/>
        <v>982</v>
      </c>
      <c r="G263" s="240"/>
      <c r="H263" s="228"/>
      <c r="I263" s="62">
        <f t="shared" si="55"/>
        <v>0</v>
      </c>
      <c r="J263" s="247"/>
      <c r="K263" s="246"/>
      <c r="L263" s="67">
        <f t="shared" si="56"/>
        <v>206690</v>
      </c>
    </row>
    <row r="264" spans="1:12" x14ac:dyDescent="0.3">
      <c r="A264" s="32"/>
      <c r="B264" s="230"/>
      <c r="C264" s="244"/>
      <c r="D264" s="236"/>
      <c r="E264" s="235"/>
      <c r="F264" s="54">
        <f t="shared" si="54"/>
        <v>982</v>
      </c>
      <c r="G264" s="240"/>
      <c r="H264" s="226"/>
      <c r="I264" s="62">
        <f t="shared" si="55"/>
        <v>0</v>
      </c>
      <c r="J264" s="233"/>
      <c r="K264" s="246"/>
      <c r="L264" s="67">
        <f t="shared" si="56"/>
        <v>206690</v>
      </c>
    </row>
    <row r="265" spans="1:12" x14ac:dyDescent="0.3">
      <c r="A265" s="32"/>
      <c r="B265" s="230"/>
      <c r="C265" s="239"/>
      <c r="D265" s="236"/>
      <c r="E265" s="235"/>
      <c r="F265" s="54">
        <f t="shared" si="54"/>
        <v>982</v>
      </c>
      <c r="G265" s="240"/>
      <c r="H265" s="226"/>
      <c r="I265" s="62">
        <f t="shared" si="55"/>
        <v>0</v>
      </c>
      <c r="J265" s="247"/>
      <c r="K265" s="246"/>
      <c r="L265" s="67">
        <f t="shared" si="56"/>
        <v>206690</v>
      </c>
    </row>
    <row r="266" spans="1:12" x14ac:dyDescent="0.3">
      <c r="A266" s="32"/>
      <c r="B266" s="230"/>
      <c r="C266" s="244"/>
      <c r="D266" s="236"/>
      <c r="E266" s="231"/>
      <c r="F266" s="54">
        <f t="shared" si="54"/>
        <v>982</v>
      </c>
      <c r="G266" s="240"/>
      <c r="H266" s="226"/>
      <c r="I266" s="62">
        <f t="shared" si="55"/>
        <v>0</v>
      </c>
      <c r="J266" s="229"/>
      <c r="K266" s="246"/>
      <c r="L266" s="67">
        <f t="shared" si="56"/>
        <v>206690</v>
      </c>
    </row>
    <row r="267" spans="1:12" x14ac:dyDescent="0.3">
      <c r="A267" s="32"/>
      <c r="B267" s="230"/>
      <c r="C267" s="244"/>
      <c r="D267" s="236"/>
      <c r="E267" s="231"/>
      <c r="F267" s="54">
        <f t="shared" si="54"/>
        <v>982</v>
      </c>
      <c r="G267" s="240"/>
      <c r="H267" s="228"/>
      <c r="I267" s="62">
        <f t="shared" si="55"/>
        <v>0</v>
      </c>
      <c r="J267" s="229"/>
      <c r="K267" s="246"/>
      <c r="L267" s="67">
        <f t="shared" si="56"/>
        <v>206690</v>
      </c>
    </row>
    <row r="268" spans="1:12" x14ac:dyDescent="0.3">
      <c r="A268" s="32"/>
      <c r="B268" s="232"/>
      <c r="C268" s="244"/>
      <c r="D268" s="235"/>
      <c r="E268" s="231"/>
      <c r="F268" s="54">
        <f t="shared" si="54"/>
        <v>982</v>
      </c>
      <c r="G268" s="241"/>
      <c r="H268" s="226"/>
      <c r="I268" s="62">
        <f t="shared" si="55"/>
        <v>0</v>
      </c>
      <c r="J268" s="266"/>
      <c r="K268" s="246"/>
      <c r="L268" s="67">
        <f t="shared" si="56"/>
        <v>206690</v>
      </c>
    </row>
    <row r="269" spans="1:12" x14ac:dyDescent="0.3">
      <c r="A269" s="32"/>
      <c r="B269" s="230"/>
      <c r="C269" s="244"/>
      <c r="D269" s="235"/>
      <c r="E269" s="231"/>
      <c r="F269" s="54">
        <f t="shared" si="54"/>
        <v>982</v>
      </c>
      <c r="G269" s="240"/>
      <c r="H269" s="226"/>
      <c r="I269" s="62">
        <f t="shared" si="55"/>
        <v>0</v>
      </c>
      <c r="J269" s="248"/>
      <c r="K269" s="246"/>
      <c r="L269" s="67">
        <f t="shared" si="56"/>
        <v>206690</v>
      </c>
    </row>
    <row r="270" spans="1:12" x14ac:dyDescent="0.3">
      <c r="A270" s="32"/>
      <c r="B270" s="234"/>
      <c r="C270" s="244"/>
      <c r="D270" s="236"/>
      <c r="E270" s="39"/>
      <c r="F270" s="54">
        <f t="shared" si="54"/>
        <v>982</v>
      </c>
      <c r="G270" s="240"/>
      <c r="H270" s="226"/>
      <c r="I270" s="62">
        <f t="shared" si="55"/>
        <v>0</v>
      </c>
      <c r="J270" s="266"/>
      <c r="K270" s="246"/>
      <c r="L270" s="67">
        <f t="shared" si="56"/>
        <v>206690</v>
      </c>
    </row>
    <row r="271" spans="1:12" x14ac:dyDescent="0.3">
      <c r="A271" s="32"/>
      <c r="B271" s="222"/>
      <c r="C271" s="244"/>
      <c r="D271" s="235"/>
      <c r="E271" s="224"/>
      <c r="F271" s="54">
        <f t="shared" si="54"/>
        <v>982</v>
      </c>
      <c r="G271" s="240"/>
      <c r="H271" s="226"/>
      <c r="I271" s="62">
        <f t="shared" si="55"/>
        <v>0</v>
      </c>
      <c r="J271" s="266"/>
      <c r="K271" s="246"/>
      <c r="L271" s="67">
        <f t="shared" si="56"/>
        <v>206690</v>
      </c>
    </row>
    <row r="272" spans="1:12" x14ac:dyDescent="0.3">
      <c r="A272" s="32"/>
      <c r="B272" s="232"/>
      <c r="C272" s="244"/>
      <c r="D272" s="235"/>
      <c r="E272" s="231"/>
      <c r="F272" s="54">
        <f t="shared" si="54"/>
        <v>982</v>
      </c>
      <c r="G272" s="240"/>
      <c r="H272" s="226"/>
      <c r="I272" s="62">
        <f t="shared" si="55"/>
        <v>0</v>
      </c>
      <c r="J272" s="248"/>
      <c r="K272" s="246"/>
      <c r="L272" s="67">
        <f t="shared" si="56"/>
        <v>206690</v>
      </c>
    </row>
    <row r="273" spans="1:12" x14ac:dyDescent="0.3">
      <c r="A273" s="32"/>
      <c r="B273" s="232"/>
      <c r="C273" s="74"/>
      <c r="D273" s="235"/>
      <c r="E273" s="231"/>
      <c r="F273" s="54">
        <f t="shared" si="54"/>
        <v>982</v>
      </c>
      <c r="G273" s="240"/>
      <c r="H273" s="226"/>
      <c r="I273" s="62">
        <f t="shared" si="55"/>
        <v>0</v>
      </c>
      <c r="J273" s="233"/>
      <c r="K273" s="246"/>
      <c r="L273" s="67">
        <f t="shared" si="56"/>
        <v>206690</v>
      </c>
    </row>
    <row r="274" spans="1:12" x14ac:dyDescent="0.3">
      <c r="A274" s="32"/>
      <c r="B274" s="232"/>
      <c r="C274" s="267"/>
      <c r="D274" s="236"/>
      <c r="E274" s="231"/>
      <c r="F274" s="54">
        <f t="shared" si="54"/>
        <v>982</v>
      </c>
      <c r="G274" s="242"/>
      <c r="H274" s="226"/>
      <c r="I274" s="62">
        <f t="shared" si="55"/>
        <v>0</v>
      </c>
      <c r="J274" s="247"/>
      <c r="K274" s="246"/>
      <c r="L274" s="67">
        <f t="shared" si="56"/>
        <v>206690</v>
      </c>
    </row>
    <row r="275" spans="1:12" x14ac:dyDescent="0.3">
      <c r="A275" s="32"/>
      <c r="B275" s="232"/>
      <c r="C275" s="267"/>
      <c r="D275" s="236"/>
      <c r="E275" s="231"/>
      <c r="F275" s="54">
        <f t="shared" si="54"/>
        <v>982</v>
      </c>
      <c r="G275" s="242"/>
      <c r="H275" s="227"/>
      <c r="I275" s="62">
        <f t="shared" si="55"/>
        <v>0</v>
      </c>
      <c r="J275" s="229"/>
      <c r="K275" s="246"/>
      <c r="L275" s="67">
        <f t="shared" si="56"/>
        <v>206690</v>
      </c>
    </row>
    <row r="276" spans="1:12" x14ac:dyDescent="0.3">
      <c r="A276" s="32"/>
      <c r="B276" s="230"/>
      <c r="C276" s="239"/>
      <c r="D276" s="236"/>
      <c r="E276" s="231"/>
      <c r="F276" s="54">
        <f t="shared" si="54"/>
        <v>982</v>
      </c>
      <c r="G276" s="243"/>
      <c r="H276" s="227"/>
      <c r="I276" s="62">
        <f t="shared" si="55"/>
        <v>0</v>
      </c>
      <c r="J276" s="264"/>
      <c r="K276" s="246"/>
      <c r="L276" s="67">
        <f t="shared" si="56"/>
        <v>206690</v>
      </c>
    </row>
    <row r="277" spans="1:12" x14ac:dyDescent="0.3">
      <c r="A277" s="32"/>
      <c r="B277" s="230"/>
      <c r="C277" s="245"/>
      <c r="D277" s="235"/>
      <c r="E277" s="231"/>
      <c r="F277" s="54">
        <f>+F276+C277+D277-E277</f>
        <v>982</v>
      </c>
      <c r="G277" s="240"/>
      <c r="H277" s="226">
        <v>0</v>
      </c>
      <c r="I277" s="62">
        <f>I276++G277-H277</f>
        <v>0</v>
      </c>
      <c r="J277" s="233"/>
      <c r="K277" s="246"/>
      <c r="L277" s="67">
        <f>L276++J277-K277</f>
        <v>206690</v>
      </c>
    </row>
    <row r="278" spans="1:12" x14ac:dyDescent="0.3">
      <c r="A278" s="32"/>
      <c r="B278" s="230"/>
      <c r="C278" s="245"/>
      <c r="D278" s="235"/>
      <c r="E278" s="231"/>
      <c r="F278" s="54">
        <f t="shared" ref="F278:F282" si="57">+F277+C278+D278-E278</f>
        <v>982</v>
      </c>
      <c r="G278" s="241"/>
      <c r="H278" s="226"/>
      <c r="I278" s="62">
        <f t="shared" ref="I278:I282" si="58">I277++G278-H278</f>
        <v>0</v>
      </c>
      <c r="J278" s="233"/>
      <c r="K278" s="246"/>
      <c r="L278" s="67">
        <f t="shared" ref="L278:L282" si="59">L277++J278-K278</f>
        <v>206690</v>
      </c>
    </row>
    <row r="279" spans="1:12" x14ac:dyDescent="0.3">
      <c r="A279" s="32"/>
      <c r="B279" s="222"/>
      <c r="C279" s="245"/>
      <c r="D279" s="235"/>
      <c r="E279" s="235"/>
      <c r="F279" s="54">
        <f t="shared" si="57"/>
        <v>982</v>
      </c>
      <c r="G279" s="240"/>
      <c r="H279" s="228"/>
      <c r="I279" s="62">
        <f t="shared" si="58"/>
        <v>0</v>
      </c>
      <c r="J279" s="233"/>
      <c r="K279" s="246"/>
      <c r="L279" s="67">
        <f t="shared" si="59"/>
        <v>206690</v>
      </c>
    </row>
    <row r="280" spans="1:12" x14ac:dyDescent="0.3">
      <c r="A280" s="32"/>
      <c r="B280" s="230"/>
      <c r="C280" s="112"/>
      <c r="D280" s="235"/>
      <c r="E280" s="235"/>
      <c r="F280" s="54">
        <f t="shared" si="57"/>
        <v>982</v>
      </c>
      <c r="G280" s="240"/>
      <c r="H280" s="226"/>
      <c r="I280" s="62">
        <f t="shared" si="58"/>
        <v>0</v>
      </c>
      <c r="J280" s="247"/>
      <c r="K280" s="246"/>
      <c r="L280" s="67">
        <f t="shared" si="59"/>
        <v>206690</v>
      </c>
    </row>
    <row r="281" spans="1:12" x14ac:dyDescent="0.3">
      <c r="A281" s="32"/>
      <c r="B281" s="230"/>
      <c r="C281" s="245"/>
      <c r="D281" s="235"/>
      <c r="E281" s="231"/>
      <c r="F281" s="54">
        <f t="shared" si="57"/>
        <v>982</v>
      </c>
      <c r="G281" s="240"/>
      <c r="H281" s="226"/>
      <c r="I281" s="62">
        <f t="shared" si="58"/>
        <v>0</v>
      </c>
      <c r="J281" s="229"/>
      <c r="K281" s="246"/>
      <c r="L281" s="67">
        <f t="shared" si="59"/>
        <v>206690</v>
      </c>
    </row>
    <row r="282" spans="1:12" x14ac:dyDescent="0.3">
      <c r="A282" s="32"/>
      <c r="B282" s="230"/>
      <c r="C282" s="245"/>
      <c r="D282" s="235"/>
      <c r="E282" s="231"/>
      <c r="F282" s="54">
        <f t="shared" si="57"/>
        <v>982</v>
      </c>
      <c r="G282" s="240"/>
      <c r="H282" s="226"/>
      <c r="I282" s="62">
        <f t="shared" si="58"/>
        <v>0</v>
      </c>
      <c r="J282" s="229"/>
      <c r="K282" s="246"/>
      <c r="L282" s="67">
        <f t="shared" si="59"/>
        <v>206690</v>
      </c>
    </row>
    <row r="283" spans="1:12" x14ac:dyDescent="0.3">
      <c r="A283" s="32"/>
      <c r="B283" s="234"/>
      <c r="C283" s="244"/>
      <c r="D283" s="236"/>
      <c r="E283" s="231"/>
      <c r="F283" s="54">
        <f>+F282+C283+D283-E283</f>
        <v>982</v>
      </c>
      <c r="G283" s="240"/>
      <c r="H283" s="226">
        <v>0</v>
      </c>
      <c r="I283" s="62">
        <f>I282++G283-H283</f>
        <v>0</v>
      </c>
      <c r="J283" s="233"/>
      <c r="K283" s="246"/>
      <c r="L283" s="67">
        <f>L282++J283-K283</f>
        <v>206690</v>
      </c>
    </row>
    <row r="284" spans="1:12" x14ac:dyDescent="0.3">
      <c r="A284" s="32"/>
      <c r="B284" s="234"/>
      <c r="C284" s="239"/>
      <c r="D284" s="236"/>
      <c r="E284" s="231"/>
      <c r="F284" s="54">
        <f t="shared" ref="F284:F302" si="60">+F283+C284+D284-E284</f>
        <v>982</v>
      </c>
      <c r="G284" s="241"/>
      <c r="H284" s="226"/>
      <c r="I284" s="62">
        <f t="shared" ref="I284:I302" si="61">I283++G284-H284</f>
        <v>0</v>
      </c>
      <c r="J284" s="233"/>
      <c r="K284" s="246"/>
      <c r="L284" s="67">
        <f t="shared" ref="L284:L302" si="62">L283++J284-K284</f>
        <v>206690</v>
      </c>
    </row>
    <row r="285" spans="1:12" x14ac:dyDescent="0.3">
      <c r="A285" s="32"/>
      <c r="B285" s="230"/>
      <c r="C285" s="245"/>
      <c r="D285" s="235"/>
      <c r="E285" s="235"/>
      <c r="F285" s="54">
        <f t="shared" si="60"/>
        <v>982</v>
      </c>
      <c r="G285" s="240"/>
      <c r="H285" s="228"/>
      <c r="I285" s="62">
        <f t="shared" si="61"/>
        <v>0</v>
      </c>
      <c r="J285" s="233"/>
      <c r="K285" s="246"/>
      <c r="L285" s="67">
        <f t="shared" si="62"/>
        <v>206690</v>
      </c>
    </row>
    <row r="286" spans="1:12" x14ac:dyDescent="0.3">
      <c r="A286" s="32"/>
      <c r="B286" s="222"/>
      <c r="C286" s="112"/>
      <c r="D286" s="235"/>
      <c r="E286" s="235"/>
      <c r="F286" s="54">
        <f t="shared" si="60"/>
        <v>982</v>
      </c>
      <c r="G286" s="240"/>
      <c r="H286" s="226"/>
      <c r="I286" s="62">
        <f t="shared" si="61"/>
        <v>0</v>
      </c>
      <c r="J286" s="247"/>
      <c r="K286" s="246"/>
      <c r="L286" s="67">
        <f t="shared" si="62"/>
        <v>206690</v>
      </c>
    </row>
    <row r="287" spans="1:12" x14ac:dyDescent="0.3">
      <c r="A287" s="32"/>
      <c r="B287" s="230"/>
      <c r="C287" s="245"/>
      <c r="D287" s="235"/>
      <c r="E287" s="231"/>
      <c r="F287" s="54">
        <f t="shared" si="60"/>
        <v>982</v>
      </c>
      <c r="G287" s="240"/>
      <c r="H287" s="226"/>
      <c r="I287" s="62">
        <f t="shared" si="61"/>
        <v>0</v>
      </c>
      <c r="J287" s="229"/>
      <c r="K287" s="246"/>
      <c r="L287" s="67">
        <f t="shared" si="62"/>
        <v>206690</v>
      </c>
    </row>
    <row r="288" spans="1:12" x14ac:dyDescent="0.3">
      <c r="A288" s="32"/>
      <c r="B288" s="230"/>
      <c r="C288" s="245"/>
      <c r="D288" s="235"/>
      <c r="E288" s="231"/>
      <c r="F288" s="54">
        <f t="shared" si="60"/>
        <v>982</v>
      </c>
      <c r="G288" s="240"/>
      <c r="H288" s="226"/>
      <c r="I288" s="62">
        <f t="shared" si="61"/>
        <v>0</v>
      </c>
      <c r="J288" s="229"/>
      <c r="K288" s="246"/>
      <c r="L288" s="67">
        <f t="shared" si="62"/>
        <v>206690</v>
      </c>
    </row>
    <row r="289" spans="1:12" x14ac:dyDescent="0.3">
      <c r="A289" s="32"/>
      <c r="B289" s="230"/>
      <c r="C289" s="245"/>
      <c r="D289" s="235"/>
      <c r="E289" s="231"/>
      <c r="F289" s="54">
        <f t="shared" si="60"/>
        <v>982</v>
      </c>
      <c r="G289" s="240"/>
      <c r="H289" s="228"/>
      <c r="I289" s="62">
        <f t="shared" si="61"/>
        <v>0</v>
      </c>
      <c r="J289" s="229"/>
      <c r="K289" s="246"/>
      <c r="L289" s="67">
        <f t="shared" si="62"/>
        <v>206690</v>
      </c>
    </row>
    <row r="290" spans="1:12" x14ac:dyDescent="0.3">
      <c r="A290" s="32"/>
      <c r="B290" s="230"/>
      <c r="C290" s="245"/>
      <c r="D290" s="235"/>
      <c r="E290" s="231"/>
      <c r="F290" s="54">
        <f t="shared" si="60"/>
        <v>982</v>
      </c>
      <c r="G290" s="241"/>
      <c r="H290" s="226"/>
      <c r="I290" s="62">
        <f t="shared" si="61"/>
        <v>0</v>
      </c>
      <c r="J290" s="266"/>
      <c r="K290" s="246"/>
      <c r="L290" s="67">
        <f t="shared" si="62"/>
        <v>206690</v>
      </c>
    </row>
    <row r="291" spans="1:12" x14ac:dyDescent="0.3">
      <c r="A291" s="32"/>
      <c r="B291" s="230"/>
      <c r="C291" s="245"/>
      <c r="D291" s="235"/>
      <c r="E291" s="231"/>
      <c r="F291" s="54">
        <f t="shared" si="60"/>
        <v>982</v>
      </c>
      <c r="G291" s="240"/>
      <c r="H291" s="226"/>
      <c r="I291" s="62">
        <f t="shared" si="61"/>
        <v>0</v>
      </c>
      <c r="J291" s="248"/>
      <c r="K291" s="246"/>
      <c r="L291" s="67">
        <f t="shared" si="62"/>
        <v>206690</v>
      </c>
    </row>
    <row r="292" spans="1:12" x14ac:dyDescent="0.3">
      <c r="A292" s="32"/>
      <c r="B292" s="230"/>
      <c r="C292" s="245"/>
      <c r="D292" s="235"/>
      <c r="E292" s="231"/>
      <c r="F292" s="54">
        <f t="shared" si="60"/>
        <v>982</v>
      </c>
      <c r="G292" s="240"/>
      <c r="H292" s="226"/>
      <c r="I292" s="62">
        <f t="shared" si="61"/>
        <v>0</v>
      </c>
      <c r="J292" s="266"/>
      <c r="K292" s="246"/>
      <c r="L292" s="67">
        <f t="shared" si="62"/>
        <v>206690</v>
      </c>
    </row>
    <row r="293" spans="1:12" x14ac:dyDescent="0.3">
      <c r="A293" s="32"/>
      <c r="B293" s="230"/>
      <c r="C293" s="245"/>
      <c r="D293" s="235"/>
      <c r="E293" s="231"/>
      <c r="F293" s="54">
        <f t="shared" si="60"/>
        <v>982</v>
      </c>
      <c r="G293" s="240"/>
      <c r="H293" s="226"/>
      <c r="I293" s="62">
        <f t="shared" si="61"/>
        <v>0</v>
      </c>
      <c r="J293" s="266"/>
      <c r="K293" s="246"/>
      <c r="L293" s="67">
        <f t="shared" si="62"/>
        <v>206690</v>
      </c>
    </row>
    <row r="294" spans="1:12" x14ac:dyDescent="0.3">
      <c r="A294" s="32"/>
      <c r="B294" s="230"/>
      <c r="C294" s="245"/>
      <c r="D294" s="235"/>
      <c r="E294" s="231"/>
      <c r="F294" s="54">
        <f t="shared" si="60"/>
        <v>982</v>
      </c>
      <c r="G294" s="240"/>
      <c r="H294" s="226"/>
      <c r="I294" s="62">
        <f t="shared" si="61"/>
        <v>0</v>
      </c>
      <c r="J294" s="248"/>
      <c r="K294" s="246"/>
      <c r="L294" s="67">
        <f t="shared" si="62"/>
        <v>206690</v>
      </c>
    </row>
    <row r="295" spans="1:12" x14ac:dyDescent="0.3">
      <c r="A295" s="32"/>
      <c r="B295" s="232"/>
      <c r="C295" s="74"/>
      <c r="D295" s="265"/>
      <c r="E295" s="83"/>
      <c r="F295" s="54">
        <f t="shared" si="60"/>
        <v>982</v>
      </c>
      <c r="G295" s="240"/>
      <c r="H295" s="226"/>
      <c r="I295" s="62">
        <f t="shared" si="61"/>
        <v>0</v>
      </c>
      <c r="J295" s="233"/>
      <c r="K295" s="246"/>
      <c r="L295" s="67">
        <f t="shared" si="62"/>
        <v>206690</v>
      </c>
    </row>
    <row r="296" spans="1:12" x14ac:dyDescent="0.3">
      <c r="A296" s="32"/>
      <c r="B296" s="232"/>
      <c r="C296" s="244"/>
      <c r="D296" s="265"/>
      <c r="E296" s="83"/>
      <c r="F296" s="54">
        <f t="shared" si="60"/>
        <v>982</v>
      </c>
      <c r="G296" s="242"/>
      <c r="H296" s="226"/>
      <c r="I296" s="62">
        <f t="shared" si="61"/>
        <v>0</v>
      </c>
      <c r="J296" s="247"/>
      <c r="K296" s="246"/>
      <c r="L296" s="67">
        <f t="shared" si="62"/>
        <v>206690</v>
      </c>
    </row>
    <row r="297" spans="1:12" x14ac:dyDescent="0.3">
      <c r="A297" s="32"/>
      <c r="B297" s="232"/>
      <c r="C297" s="244"/>
      <c r="D297" s="265"/>
      <c r="E297" s="83"/>
      <c r="F297" s="54">
        <f t="shared" si="60"/>
        <v>982</v>
      </c>
      <c r="G297" s="242"/>
      <c r="H297" s="227"/>
      <c r="I297" s="62">
        <f t="shared" si="61"/>
        <v>0</v>
      </c>
      <c r="J297" s="229"/>
      <c r="K297" s="246"/>
      <c r="L297" s="67">
        <f t="shared" si="62"/>
        <v>206690</v>
      </c>
    </row>
    <row r="298" spans="1:12" x14ac:dyDescent="0.3">
      <c r="A298" s="32"/>
      <c r="B298" s="232"/>
      <c r="C298" s="239"/>
      <c r="D298" s="265"/>
      <c r="E298" s="83"/>
      <c r="F298" s="54">
        <f t="shared" si="60"/>
        <v>982</v>
      </c>
      <c r="G298" s="243"/>
      <c r="H298" s="227"/>
      <c r="I298" s="62">
        <f t="shared" si="61"/>
        <v>0</v>
      </c>
      <c r="J298" s="264"/>
      <c r="K298" s="246"/>
      <c r="L298" s="67">
        <f t="shared" si="62"/>
        <v>206690</v>
      </c>
    </row>
    <row r="299" spans="1:12" x14ac:dyDescent="0.3">
      <c r="A299" s="32"/>
      <c r="B299" s="230"/>
      <c r="C299" s="244"/>
      <c r="D299" s="236"/>
      <c r="E299" s="231"/>
      <c r="F299" s="54">
        <f t="shared" si="60"/>
        <v>982</v>
      </c>
      <c r="G299" s="223"/>
      <c r="H299" s="221"/>
      <c r="I299" s="62">
        <f t="shared" si="61"/>
        <v>0</v>
      </c>
      <c r="J299" s="229"/>
      <c r="K299" s="246"/>
      <c r="L299" s="67">
        <f t="shared" si="62"/>
        <v>206690</v>
      </c>
    </row>
    <row r="300" spans="1:12" x14ac:dyDescent="0.3">
      <c r="A300" s="32"/>
      <c r="B300" s="232"/>
      <c r="C300" s="244"/>
      <c r="D300" s="236"/>
      <c r="E300" s="231"/>
      <c r="F300" s="54">
        <f t="shared" si="60"/>
        <v>982</v>
      </c>
      <c r="G300" s="223"/>
      <c r="H300" s="227"/>
      <c r="I300" s="62">
        <f t="shared" si="61"/>
        <v>0</v>
      </c>
      <c r="J300" s="229"/>
      <c r="K300" s="246"/>
      <c r="L300" s="67">
        <f t="shared" si="62"/>
        <v>206690</v>
      </c>
    </row>
    <row r="301" spans="1:12" x14ac:dyDescent="0.3">
      <c r="A301" s="32"/>
      <c r="B301" s="234"/>
      <c r="C301" s="245"/>
      <c r="D301" s="235"/>
      <c r="E301" s="39"/>
      <c r="F301" s="54">
        <f t="shared" si="60"/>
        <v>982</v>
      </c>
      <c r="G301" s="223"/>
      <c r="H301" s="227"/>
      <c r="I301" s="62">
        <f t="shared" si="61"/>
        <v>0</v>
      </c>
      <c r="J301" s="247"/>
      <c r="K301" s="246"/>
      <c r="L301" s="67">
        <f t="shared" si="62"/>
        <v>206690</v>
      </c>
    </row>
    <row r="302" spans="1:12" x14ac:dyDescent="0.3">
      <c r="A302" s="32"/>
      <c r="B302" s="230"/>
      <c r="C302" s="245"/>
      <c r="D302" s="235"/>
      <c r="E302" s="231"/>
      <c r="F302" s="54">
        <f t="shared" si="60"/>
        <v>982</v>
      </c>
      <c r="G302" s="223"/>
      <c r="H302" s="227"/>
      <c r="I302" s="62">
        <f t="shared" si="61"/>
        <v>0</v>
      </c>
      <c r="J302" s="65"/>
      <c r="K302" s="246"/>
      <c r="L302" s="67">
        <f t="shared" si="62"/>
        <v>206690</v>
      </c>
    </row>
    <row r="303" spans="1:12" x14ac:dyDescent="0.3">
      <c r="A303" s="32"/>
      <c r="B303" s="230"/>
      <c r="C303" s="245"/>
      <c r="D303" s="235"/>
      <c r="E303" s="231"/>
      <c r="F303" s="54">
        <f>+F302+C303+D303-E303</f>
        <v>982</v>
      </c>
      <c r="G303" s="240"/>
      <c r="H303" s="226">
        <v>0</v>
      </c>
      <c r="I303" s="62">
        <f>I302++G303-H303</f>
        <v>0</v>
      </c>
      <c r="J303" s="233"/>
      <c r="K303" s="246"/>
      <c r="L303" s="67">
        <f>L302++J303-K303</f>
        <v>206690</v>
      </c>
    </row>
    <row r="304" spans="1:12" x14ac:dyDescent="0.3">
      <c r="A304" s="32"/>
      <c r="B304" s="234"/>
      <c r="C304" s="112"/>
      <c r="D304" s="235"/>
      <c r="E304" s="39"/>
      <c r="F304" s="54">
        <f t="shared" ref="F304:F307" si="63">+F303+C304+D304-E304</f>
        <v>982</v>
      </c>
      <c r="G304" s="241"/>
      <c r="H304" s="226"/>
      <c r="I304" s="62">
        <f t="shared" ref="I304:I307" si="64">I303++G304-H304</f>
        <v>0</v>
      </c>
      <c r="J304" s="233"/>
      <c r="K304" s="246"/>
      <c r="L304" s="67">
        <f t="shared" ref="L304:L307" si="65">L303++J304-K304</f>
        <v>206690</v>
      </c>
    </row>
    <row r="305" spans="1:12" x14ac:dyDescent="0.3">
      <c r="A305" s="32"/>
      <c r="B305" s="230"/>
      <c r="C305" s="245"/>
      <c r="D305" s="235"/>
      <c r="E305" s="235"/>
      <c r="F305" s="54">
        <f t="shared" si="63"/>
        <v>982</v>
      </c>
      <c r="G305" s="240"/>
      <c r="H305" s="228"/>
      <c r="I305" s="62">
        <f t="shared" si="64"/>
        <v>0</v>
      </c>
      <c r="J305" s="233"/>
      <c r="K305" s="246"/>
      <c r="L305" s="67">
        <f t="shared" si="65"/>
        <v>206690</v>
      </c>
    </row>
    <row r="306" spans="1:12" x14ac:dyDescent="0.3">
      <c r="A306" s="32"/>
      <c r="B306" s="232"/>
      <c r="C306" s="239"/>
      <c r="D306" s="235"/>
      <c r="E306" s="235"/>
      <c r="F306" s="54">
        <f t="shared" si="63"/>
        <v>982</v>
      </c>
      <c r="G306" s="240"/>
      <c r="H306" s="226"/>
      <c r="I306" s="62">
        <f t="shared" si="64"/>
        <v>0</v>
      </c>
      <c r="J306" s="247"/>
      <c r="K306" s="246"/>
      <c r="L306" s="67">
        <f t="shared" si="65"/>
        <v>206690</v>
      </c>
    </row>
    <row r="307" spans="1:12" x14ac:dyDescent="0.3">
      <c r="A307" s="32"/>
      <c r="B307" s="230"/>
      <c r="C307" s="245"/>
      <c r="D307" s="235"/>
      <c r="E307" s="231"/>
      <c r="F307" s="54">
        <f t="shared" si="63"/>
        <v>982</v>
      </c>
      <c r="G307" s="240"/>
      <c r="H307" s="226"/>
      <c r="I307" s="62">
        <f t="shared" si="64"/>
        <v>0</v>
      </c>
      <c r="J307" s="229"/>
      <c r="K307" s="246"/>
      <c r="L307" s="67">
        <f t="shared" si="65"/>
        <v>206690</v>
      </c>
    </row>
    <row r="308" spans="1:12" x14ac:dyDescent="0.3">
      <c r="A308" s="32"/>
      <c r="B308" s="230"/>
      <c r="C308" s="112"/>
      <c r="D308" s="235"/>
      <c r="E308" s="231"/>
      <c r="F308" s="54">
        <f t="shared" ref="F308:F317" si="66">+F307+C308+D308-E308</f>
        <v>982</v>
      </c>
      <c r="G308" s="240"/>
      <c r="H308" s="226"/>
      <c r="I308" s="62">
        <f t="shared" ref="I308:I317" si="67">I307++G308-H308</f>
        <v>0</v>
      </c>
      <c r="J308" s="229"/>
      <c r="K308" s="246"/>
      <c r="L308" s="67">
        <f t="shared" ref="L308:L342" si="68">L307++J308-K308</f>
        <v>206690</v>
      </c>
    </row>
    <row r="309" spans="1:12" x14ac:dyDescent="0.3">
      <c r="A309" s="32"/>
      <c r="B309" s="230"/>
      <c r="C309" s="112"/>
      <c r="D309" s="235"/>
      <c r="E309" s="231"/>
      <c r="F309" s="54">
        <f t="shared" si="66"/>
        <v>982</v>
      </c>
      <c r="G309" s="240"/>
      <c r="H309" s="228"/>
      <c r="I309" s="62">
        <f t="shared" si="67"/>
        <v>0</v>
      </c>
      <c r="J309" s="229"/>
      <c r="K309" s="246"/>
      <c r="L309" s="67">
        <f t="shared" si="68"/>
        <v>206690</v>
      </c>
    </row>
    <row r="310" spans="1:12" x14ac:dyDescent="0.3">
      <c r="A310" s="32"/>
      <c r="B310" s="230"/>
      <c r="C310" s="245"/>
      <c r="D310" s="236"/>
      <c r="E310" s="231"/>
      <c r="F310" s="54">
        <f t="shared" si="66"/>
        <v>982</v>
      </c>
      <c r="G310" s="241"/>
      <c r="H310" s="226"/>
      <c r="I310" s="62">
        <f t="shared" si="67"/>
        <v>0</v>
      </c>
      <c r="J310" s="248"/>
      <c r="K310" s="246"/>
      <c r="L310" s="67">
        <f t="shared" si="68"/>
        <v>206690</v>
      </c>
    </row>
    <row r="311" spans="1:12" x14ac:dyDescent="0.3">
      <c r="A311" s="32"/>
      <c r="B311" s="230"/>
      <c r="C311" s="112"/>
      <c r="D311" s="235"/>
      <c r="E311" s="231"/>
      <c r="F311" s="54">
        <f t="shared" si="66"/>
        <v>982</v>
      </c>
      <c r="G311" s="240"/>
      <c r="H311" s="226"/>
      <c r="I311" s="62">
        <f t="shared" si="67"/>
        <v>0</v>
      </c>
      <c r="J311" s="248"/>
      <c r="K311" s="246"/>
      <c r="L311" s="67">
        <f t="shared" si="68"/>
        <v>206690</v>
      </c>
    </row>
    <row r="312" spans="1:12" x14ac:dyDescent="0.3">
      <c r="A312" s="32"/>
      <c r="B312" s="230"/>
      <c r="C312" s="244"/>
      <c r="D312" s="236"/>
      <c r="E312" s="231"/>
      <c r="F312" s="54">
        <f t="shared" si="66"/>
        <v>982</v>
      </c>
      <c r="G312" s="240"/>
      <c r="H312" s="226"/>
      <c r="I312" s="62">
        <f t="shared" si="67"/>
        <v>0</v>
      </c>
      <c r="J312" s="248"/>
      <c r="K312" s="246"/>
      <c r="L312" s="67">
        <f t="shared" si="68"/>
        <v>206690</v>
      </c>
    </row>
    <row r="313" spans="1:12" x14ac:dyDescent="0.3">
      <c r="A313" s="32"/>
      <c r="B313" s="230"/>
      <c r="C313" s="245"/>
      <c r="D313" s="236"/>
      <c r="E313" s="231"/>
      <c r="F313" s="54">
        <f t="shared" si="66"/>
        <v>982</v>
      </c>
      <c r="G313" s="240"/>
      <c r="H313" s="226"/>
      <c r="I313" s="62">
        <f t="shared" si="67"/>
        <v>0</v>
      </c>
      <c r="J313" s="247"/>
      <c r="K313" s="246"/>
      <c r="L313" s="67">
        <f t="shared" si="68"/>
        <v>206690</v>
      </c>
    </row>
    <row r="314" spans="1:12" x14ac:dyDescent="0.3">
      <c r="A314" s="32"/>
      <c r="B314" s="230"/>
      <c r="C314" s="112"/>
      <c r="D314" s="235"/>
      <c r="E314" s="231"/>
      <c r="F314" s="54">
        <f t="shared" si="66"/>
        <v>982</v>
      </c>
      <c r="G314" s="240"/>
      <c r="H314" s="226"/>
      <c r="I314" s="62">
        <f t="shared" si="67"/>
        <v>0</v>
      </c>
      <c r="J314" s="229"/>
      <c r="K314" s="246"/>
      <c r="L314" s="67">
        <f t="shared" si="68"/>
        <v>206690</v>
      </c>
    </row>
    <row r="315" spans="1:12" x14ac:dyDescent="0.3">
      <c r="A315" s="32"/>
      <c r="B315" s="232"/>
      <c r="C315" s="245"/>
      <c r="D315" s="235"/>
      <c r="E315" s="231"/>
      <c r="F315" s="54">
        <f t="shared" si="66"/>
        <v>982</v>
      </c>
      <c r="G315" s="240"/>
      <c r="H315" s="226"/>
      <c r="I315" s="62">
        <f t="shared" si="67"/>
        <v>0</v>
      </c>
      <c r="J315" s="229"/>
      <c r="K315" s="246"/>
      <c r="L315" s="67">
        <f t="shared" si="68"/>
        <v>206690</v>
      </c>
    </row>
    <row r="316" spans="1:12" x14ac:dyDescent="0.3">
      <c r="A316" s="32"/>
      <c r="B316" s="232"/>
      <c r="C316" s="244"/>
      <c r="D316" s="235"/>
      <c r="E316" s="231"/>
      <c r="F316" s="54">
        <f t="shared" si="66"/>
        <v>982</v>
      </c>
      <c r="G316" s="242"/>
      <c r="H316" s="226"/>
      <c r="I316" s="62">
        <f t="shared" si="67"/>
        <v>0</v>
      </c>
      <c r="J316" s="233"/>
      <c r="K316" s="246"/>
      <c r="L316" s="67">
        <f t="shared" si="68"/>
        <v>206690</v>
      </c>
    </row>
    <row r="317" spans="1:12" x14ac:dyDescent="0.3">
      <c r="A317" s="32"/>
      <c r="B317" s="232"/>
      <c r="C317" s="244"/>
      <c r="D317" s="236"/>
      <c r="E317" s="231"/>
      <c r="F317" s="54">
        <f t="shared" si="66"/>
        <v>982</v>
      </c>
      <c r="G317" s="242"/>
      <c r="H317" s="227"/>
      <c r="I317" s="62">
        <f t="shared" si="67"/>
        <v>0</v>
      </c>
      <c r="J317" s="233"/>
      <c r="K317" s="246"/>
      <c r="L317" s="67">
        <f t="shared" si="68"/>
        <v>206690</v>
      </c>
    </row>
    <row r="318" spans="1:12" x14ac:dyDescent="0.3">
      <c r="A318" s="32"/>
      <c r="B318" s="230"/>
      <c r="C318" s="245"/>
      <c r="D318" s="236"/>
      <c r="E318" s="231"/>
      <c r="F318" s="54">
        <f>+F317+C318+D318-E318</f>
        <v>982</v>
      </c>
      <c r="G318" s="240"/>
      <c r="H318" s="226">
        <v>0</v>
      </c>
      <c r="I318" s="62">
        <f>I317++G318-H318</f>
        <v>0</v>
      </c>
      <c r="J318" s="233"/>
      <c r="K318" s="246"/>
      <c r="L318" s="67">
        <f t="shared" si="68"/>
        <v>206690</v>
      </c>
    </row>
    <row r="319" spans="1:12" x14ac:dyDescent="0.3">
      <c r="A319" s="32"/>
      <c r="B319" s="230"/>
      <c r="C319" s="245"/>
      <c r="D319" s="235"/>
      <c r="E319" s="235"/>
      <c r="F319" s="54">
        <f t="shared" ref="F319:F342" si="69">+F318+C319+D319-E319</f>
        <v>982</v>
      </c>
      <c r="G319" s="241"/>
      <c r="H319" s="226"/>
      <c r="I319" s="62">
        <f t="shared" ref="I319:I365" si="70">I318++G319-H319</f>
        <v>0</v>
      </c>
      <c r="J319" s="233"/>
      <c r="K319" s="246"/>
      <c r="L319" s="67">
        <f t="shared" si="68"/>
        <v>206690</v>
      </c>
    </row>
    <row r="320" spans="1:12" x14ac:dyDescent="0.3">
      <c r="A320" s="32"/>
      <c r="B320" s="230"/>
      <c r="C320" s="112"/>
      <c r="D320" s="235"/>
      <c r="E320" s="235"/>
      <c r="F320" s="54">
        <f t="shared" si="69"/>
        <v>982</v>
      </c>
      <c r="G320" s="240"/>
      <c r="H320" s="228"/>
      <c r="I320" s="62">
        <f t="shared" si="70"/>
        <v>0</v>
      </c>
      <c r="J320" s="247"/>
      <c r="K320" s="246"/>
      <c r="L320" s="67">
        <f t="shared" si="68"/>
        <v>206690</v>
      </c>
    </row>
    <row r="321" spans="1:12" x14ac:dyDescent="0.3">
      <c r="A321" s="32"/>
      <c r="B321" s="230"/>
      <c r="C321" s="245"/>
      <c r="D321" s="236"/>
      <c r="E321" s="231"/>
      <c r="F321" s="54">
        <f t="shared" si="69"/>
        <v>982</v>
      </c>
      <c r="G321" s="240"/>
      <c r="H321" s="226"/>
      <c r="I321" s="62">
        <f t="shared" si="70"/>
        <v>0</v>
      </c>
      <c r="J321" s="233"/>
      <c r="K321" s="246"/>
      <c r="L321" s="67">
        <f t="shared" si="68"/>
        <v>206690</v>
      </c>
    </row>
    <row r="322" spans="1:12" x14ac:dyDescent="0.3">
      <c r="A322" s="32"/>
      <c r="B322" s="232"/>
      <c r="C322" s="244"/>
      <c r="D322" s="236"/>
      <c r="E322" s="231"/>
      <c r="F322" s="54">
        <f t="shared" si="69"/>
        <v>982</v>
      </c>
      <c r="G322" s="240"/>
      <c r="H322" s="226"/>
      <c r="I322" s="62">
        <f t="shared" si="70"/>
        <v>0</v>
      </c>
      <c r="J322" s="247"/>
      <c r="K322" s="246"/>
      <c r="L322" s="67">
        <f t="shared" si="68"/>
        <v>206690</v>
      </c>
    </row>
    <row r="323" spans="1:12" x14ac:dyDescent="0.3">
      <c r="A323" s="32"/>
      <c r="B323" s="234"/>
      <c r="C323" s="112"/>
      <c r="D323" s="235"/>
      <c r="E323" s="231"/>
      <c r="F323" s="54">
        <f t="shared" si="69"/>
        <v>982</v>
      </c>
      <c r="G323" s="240"/>
      <c r="H323" s="226"/>
      <c r="I323" s="62">
        <f t="shared" si="70"/>
        <v>0</v>
      </c>
      <c r="J323" s="229"/>
      <c r="K323" s="246"/>
      <c r="L323" s="67">
        <f t="shared" si="68"/>
        <v>206690</v>
      </c>
    </row>
    <row r="324" spans="1:12" x14ac:dyDescent="0.3">
      <c r="A324" s="32"/>
      <c r="B324" s="230"/>
      <c r="C324" s="112"/>
      <c r="D324" s="235"/>
      <c r="E324" s="231"/>
      <c r="F324" s="54">
        <f t="shared" si="69"/>
        <v>982</v>
      </c>
      <c r="G324" s="240"/>
      <c r="H324" s="228"/>
      <c r="I324" s="62">
        <f t="shared" si="70"/>
        <v>0</v>
      </c>
      <c r="J324" s="229"/>
      <c r="K324" s="246"/>
      <c r="L324" s="67">
        <f t="shared" si="68"/>
        <v>206690</v>
      </c>
    </row>
    <row r="325" spans="1:12" x14ac:dyDescent="0.3">
      <c r="A325" s="32"/>
      <c r="B325" s="234"/>
      <c r="C325" s="245"/>
      <c r="D325" s="236"/>
      <c r="E325" s="39"/>
      <c r="F325" s="54">
        <f t="shared" si="69"/>
        <v>982</v>
      </c>
      <c r="G325" s="241"/>
      <c r="H325" s="226"/>
      <c r="I325" s="62">
        <f t="shared" si="70"/>
        <v>0</v>
      </c>
      <c r="J325" s="248"/>
      <c r="K325" s="246"/>
      <c r="L325" s="67">
        <f t="shared" si="68"/>
        <v>206690</v>
      </c>
    </row>
    <row r="326" spans="1:12" x14ac:dyDescent="0.3">
      <c r="A326" s="32"/>
      <c r="B326" s="230"/>
      <c r="C326" s="112"/>
      <c r="D326" s="235"/>
      <c r="E326" s="231"/>
      <c r="F326" s="54">
        <f t="shared" si="69"/>
        <v>982</v>
      </c>
      <c r="G326" s="240"/>
      <c r="H326" s="226"/>
      <c r="I326" s="62">
        <f t="shared" si="70"/>
        <v>0</v>
      </c>
      <c r="J326" s="248"/>
      <c r="K326" s="246"/>
      <c r="L326" s="67">
        <f t="shared" si="68"/>
        <v>206690</v>
      </c>
    </row>
    <row r="327" spans="1:12" x14ac:dyDescent="0.3">
      <c r="A327" s="32"/>
      <c r="B327" s="230"/>
      <c r="C327" s="244"/>
      <c r="D327" s="236"/>
      <c r="E327" s="231"/>
      <c r="F327" s="54">
        <f t="shared" si="69"/>
        <v>982</v>
      </c>
      <c r="G327" s="240"/>
      <c r="H327" s="226"/>
      <c r="I327" s="62">
        <f t="shared" si="70"/>
        <v>0</v>
      </c>
      <c r="J327" s="248"/>
      <c r="K327" s="246"/>
      <c r="L327" s="67">
        <f t="shared" si="68"/>
        <v>206690</v>
      </c>
    </row>
    <row r="328" spans="1:12" x14ac:dyDescent="0.3">
      <c r="A328" s="32"/>
      <c r="B328" s="222"/>
      <c r="C328" s="245"/>
      <c r="D328" s="236"/>
      <c r="E328" s="231"/>
      <c r="F328" s="54">
        <f t="shared" si="69"/>
        <v>982</v>
      </c>
      <c r="G328" s="240"/>
      <c r="H328" s="226"/>
      <c r="I328" s="62">
        <f t="shared" si="70"/>
        <v>0</v>
      </c>
      <c r="J328" s="247"/>
      <c r="K328" s="246"/>
      <c r="L328" s="67">
        <f t="shared" si="68"/>
        <v>206690</v>
      </c>
    </row>
    <row r="329" spans="1:12" x14ac:dyDescent="0.3">
      <c r="A329" s="32"/>
      <c r="B329" s="230"/>
      <c r="C329" s="112"/>
      <c r="D329" s="235"/>
      <c r="E329" s="231"/>
      <c r="F329" s="54">
        <f t="shared" si="69"/>
        <v>982</v>
      </c>
      <c r="G329" s="240"/>
      <c r="H329" s="226"/>
      <c r="I329" s="62">
        <f t="shared" si="70"/>
        <v>0</v>
      </c>
      <c r="J329" s="229"/>
      <c r="K329" s="246"/>
      <c r="L329" s="67">
        <f t="shared" si="68"/>
        <v>206690</v>
      </c>
    </row>
    <row r="330" spans="1:12" x14ac:dyDescent="0.3">
      <c r="A330" s="32"/>
      <c r="B330" s="230"/>
      <c r="C330" s="245"/>
      <c r="D330" s="235"/>
      <c r="E330" s="231"/>
      <c r="F330" s="54">
        <f t="shared" si="69"/>
        <v>982</v>
      </c>
      <c r="G330" s="240"/>
      <c r="H330" s="226"/>
      <c r="I330" s="62">
        <f t="shared" si="70"/>
        <v>0</v>
      </c>
      <c r="J330" s="229"/>
      <c r="K330" s="246"/>
      <c r="L330" s="67">
        <f t="shared" si="68"/>
        <v>206690</v>
      </c>
    </row>
    <row r="331" spans="1:12" x14ac:dyDescent="0.3">
      <c r="A331" s="32"/>
      <c r="B331" s="230"/>
      <c r="C331" s="244"/>
      <c r="D331" s="235"/>
      <c r="E331" s="231"/>
      <c r="F331" s="54">
        <f t="shared" si="69"/>
        <v>982</v>
      </c>
      <c r="G331" s="242"/>
      <c r="H331" s="226"/>
      <c r="I331" s="62">
        <f t="shared" si="70"/>
        <v>0</v>
      </c>
      <c r="J331" s="233"/>
      <c r="K331" s="246"/>
      <c r="L331" s="67">
        <f t="shared" si="68"/>
        <v>206690</v>
      </c>
    </row>
    <row r="332" spans="1:12" x14ac:dyDescent="0.3">
      <c r="A332" s="32"/>
      <c r="B332" s="230"/>
      <c r="C332" s="244"/>
      <c r="D332" s="236"/>
      <c r="E332" s="231"/>
      <c r="F332" s="54">
        <f t="shared" si="69"/>
        <v>982</v>
      </c>
      <c r="G332" s="242"/>
      <c r="H332" s="227"/>
      <c r="I332" s="62">
        <f t="shared" si="70"/>
        <v>0</v>
      </c>
      <c r="J332" s="233"/>
      <c r="K332" s="246"/>
      <c r="L332" s="67">
        <f t="shared" si="68"/>
        <v>206690</v>
      </c>
    </row>
    <row r="333" spans="1:12" x14ac:dyDescent="0.3">
      <c r="A333" s="32"/>
      <c r="B333" s="230"/>
      <c r="C333" s="245"/>
      <c r="D333" s="236"/>
      <c r="E333" s="231"/>
      <c r="F333" s="54">
        <f t="shared" si="69"/>
        <v>982</v>
      </c>
      <c r="G333" s="243"/>
      <c r="H333" s="227"/>
      <c r="I333" s="62">
        <f t="shared" si="70"/>
        <v>0</v>
      </c>
      <c r="J333" s="264"/>
      <c r="K333" s="246"/>
      <c r="L333" s="67">
        <f t="shared" si="68"/>
        <v>206690</v>
      </c>
    </row>
    <row r="334" spans="1:12" x14ac:dyDescent="0.3">
      <c r="A334" s="32"/>
      <c r="B334" s="230"/>
      <c r="C334" s="245"/>
      <c r="D334" s="235"/>
      <c r="E334" s="231"/>
      <c r="F334" s="54">
        <f t="shared" si="69"/>
        <v>982</v>
      </c>
      <c r="G334" s="223"/>
      <c r="H334" s="221"/>
      <c r="I334" s="62">
        <f t="shared" si="70"/>
        <v>0</v>
      </c>
      <c r="J334" s="229"/>
      <c r="K334" s="246"/>
      <c r="L334" s="67">
        <f t="shared" si="68"/>
        <v>206690</v>
      </c>
    </row>
    <row r="335" spans="1:12" x14ac:dyDescent="0.3">
      <c r="A335" s="32"/>
      <c r="B335" s="230"/>
      <c r="C335" s="245"/>
      <c r="D335" s="235"/>
      <c r="E335" s="231"/>
      <c r="F335" s="54">
        <f t="shared" si="69"/>
        <v>982</v>
      </c>
      <c r="G335" s="223"/>
      <c r="H335" s="227"/>
      <c r="I335" s="62">
        <f t="shared" si="70"/>
        <v>0</v>
      </c>
      <c r="J335" s="229"/>
      <c r="K335" s="246"/>
      <c r="L335" s="67">
        <f t="shared" si="68"/>
        <v>206690</v>
      </c>
    </row>
    <row r="336" spans="1:12" x14ac:dyDescent="0.3">
      <c r="A336" s="32"/>
      <c r="B336" s="230"/>
      <c r="C336" s="245"/>
      <c r="D336" s="231"/>
      <c r="E336" s="231"/>
      <c r="F336" s="54">
        <f t="shared" si="69"/>
        <v>982</v>
      </c>
      <c r="G336" s="223"/>
      <c r="H336" s="227"/>
      <c r="I336" s="62">
        <f t="shared" si="70"/>
        <v>0</v>
      </c>
      <c r="J336" s="229"/>
      <c r="K336" s="246"/>
      <c r="L336" s="67">
        <f t="shared" si="68"/>
        <v>206690</v>
      </c>
    </row>
    <row r="337" spans="1:12" x14ac:dyDescent="0.3">
      <c r="A337" s="32"/>
      <c r="B337" s="232"/>
      <c r="C337" s="245"/>
      <c r="D337" s="231"/>
      <c r="E337" s="83"/>
      <c r="F337" s="54">
        <f t="shared" si="69"/>
        <v>982</v>
      </c>
      <c r="G337" s="223"/>
      <c r="H337" s="227"/>
      <c r="I337" s="62">
        <f t="shared" si="70"/>
        <v>0</v>
      </c>
      <c r="J337" s="229"/>
      <c r="K337" s="246"/>
      <c r="L337" s="67">
        <f t="shared" si="68"/>
        <v>206690</v>
      </c>
    </row>
    <row r="338" spans="1:12" x14ac:dyDescent="0.3">
      <c r="A338" s="32"/>
      <c r="B338" s="232"/>
      <c r="C338" s="244"/>
      <c r="D338" s="235"/>
      <c r="E338" s="83"/>
      <c r="F338" s="54">
        <f t="shared" si="69"/>
        <v>982</v>
      </c>
      <c r="G338" s="223"/>
      <c r="H338" s="227"/>
      <c r="I338" s="62">
        <f t="shared" si="70"/>
        <v>0</v>
      </c>
      <c r="J338" s="248"/>
      <c r="K338" s="246"/>
      <c r="L338" s="67">
        <f t="shared" si="68"/>
        <v>206690</v>
      </c>
    </row>
    <row r="339" spans="1:12" x14ac:dyDescent="0.3">
      <c r="A339" s="32"/>
      <c r="B339" s="232"/>
      <c r="C339" s="245"/>
      <c r="D339" s="235"/>
      <c r="E339" s="83"/>
      <c r="F339" s="54">
        <f t="shared" si="69"/>
        <v>982</v>
      </c>
      <c r="G339" s="223"/>
      <c r="H339" s="227"/>
      <c r="I339" s="62">
        <f t="shared" si="70"/>
        <v>0</v>
      </c>
      <c r="J339" s="248"/>
      <c r="K339" s="246"/>
      <c r="L339" s="67">
        <f t="shared" si="68"/>
        <v>206690</v>
      </c>
    </row>
    <row r="340" spans="1:12" x14ac:dyDescent="0.3">
      <c r="A340" s="32"/>
      <c r="B340" s="232"/>
      <c r="C340" s="245"/>
      <c r="D340" s="235"/>
      <c r="E340" s="83"/>
      <c r="F340" s="54">
        <f t="shared" si="69"/>
        <v>982</v>
      </c>
      <c r="G340" s="223"/>
      <c r="H340" s="227"/>
      <c r="I340" s="62">
        <f t="shared" si="70"/>
        <v>0</v>
      </c>
      <c r="J340" s="248"/>
      <c r="K340" s="246"/>
      <c r="L340" s="67">
        <f t="shared" si="68"/>
        <v>206690</v>
      </c>
    </row>
    <row r="341" spans="1:12" x14ac:dyDescent="0.3">
      <c r="A341" s="32"/>
      <c r="B341" s="232"/>
      <c r="C341" s="244"/>
      <c r="D341" s="235"/>
      <c r="E341" s="83"/>
      <c r="F341" s="54">
        <f t="shared" si="69"/>
        <v>982</v>
      </c>
      <c r="G341" s="223"/>
      <c r="H341" s="227"/>
      <c r="I341" s="62">
        <f t="shared" si="70"/>
        <v>0</v>
      </c>
      <c r="J341" s="248"/>
      <c r="K341" s="246"/>
      <c r="L341" s="67">
        <f t="shared" si="68"/>
        <v>206690</v>
      </c>
    </row>
    <row r="342" spans="1:12" x14ac:dyDescent="0.3">
      <c r="A342" s="32"/>
      <c r="B342" s="230"/>
      <c r="C342" s="244"/>
      <c r="D342" s="235"/>
      <c r="E342" s="83"/>
      <c r="F342" s="54">
        <f t="shared" si="69"/>
        <v>982</v>
      </c>
      <c r="G342" s="223"/>
      <c r="H342" s="227"/>
      <c r="I342" s="62">
        <f t="shared" si="70"/>
        <v>0</v>
      </c>
      <c r="J342" s="248"/>
      <c r="K342" s="246"/>
      <c r="L342" s="67">
        <f t="shared" si="68"/>
        <v>206690</v>
      </c>
    </row>
    <row r="343" spans="1:12" x14ac:dyDescent="0.3">
      <c r="A343" s="32"/>
      <c r="B343" s="232"/>
      <c r="C343" s="244"/>
      <c r="D343" s="235"/>
      <c r="E343" s="231"/>
      <c r="F343" s="107">
        <f t="shared" ref="F343:F378" si="71">F342+C343+D343-E343</f>
        <v>982</v>
      </c>
      <c r="G343" s="240"/>
      <c r="H343" s="226"/>
      <c r="I343" s="62">
        <f t="shared" si="70"/>
        <v>0</v>
      </c>
      <c r="J343" s="229"/>
      <c r="K343" s="246"/>
      <c r="L343" s="258">
        <f t="shared" ref="L343:L377" si="72">L342+J343-K343</f>
        <v>206690</v>
      </c>
    </row>
    <row r="344" spans="1:12" x14ac:dyDescent="0.3">
      <c r="A344" s="32"/>
      <c r="B344" s="232"/>
      <c r="C344" s="245"/>
      <c r="D344" s="235"/>
      <c r="E344" s="231"/>
      <c r="F344" s="107">
        <f t="shared" si="71"/>
        <v>982</v>
      </c>
      <c r="G344" s="240"/>
      <c r="H344" s="226"/>
      <c r="I344" s="62">
        <f t="shared" si="70"/>
        <v>0</v>
      </c>
      <c r="J344" s="229"/>
      <c r="K344" s="246"/>
      <c r="L344" s="258">
        <f t="shared" si="72"/>
        <v>206690</v>
      </c>
    </row>
    <row r="345" spans="1:12" x14ac:dyDescent="0.3">
      <c r="A345" s="32"/>
      <c r="B345" s="232"/>
      <c r="C345" s="245"/>
      <c r="D345" s="235"/>
      <c r="E345" s="231"/>
      <c r="F345" s="107">
        <f t="shared" si="71"/>
        <v>982</v>
      </c>
      <c r="G345" s="242"/>
      <c r="H345" s="226"/>
      <c r="I345" s="62">
        <f t="shared" si="70"/>
        <v>0</v>
      </c>
      <c r="J345" s="233"/>
      <c r="K345" s="246"/>
      <c r="L345" s="258">
        <f t="shared" si="72"/>
        <v>206690</v>
      </c>
    </row>
    <row r="346" spans="1:12" x14ac:dyDescent="0.3">
      <c r="A346" s="32"/>
      <c r="B346" s="230"/>
      <c r="C346" s="112"/>
      <c r="D346" s="235"/>
      <c r="E346" s="231"/>
      <c r="F346" s="107">
        <f t="shared" si="71"/>
        <v>982</v>
      </c>
      <c r="G346" s="242"/>
      <c r="H346" s="227"/>
      <c r="I346" s="62">
        <f t="shared" si="70"/>
        <v>0</v>
      </c>
      <c r="J346" s="233"/>
      <c r="K346" s="246"/>
      <c r="L346" s="258">
        <f t="shared" si="72"/>
        <v>206690</v>
      </c>
    </row>
    <row r="347" spans="1:12" x14ac:dyDescent="0.3">
      <c r="A347" s="32"/>
      <c r="B347" s="230"/>
      <c r="C347" s="245"/>
      <c r="D347" s="235"/>
      <c r="E347" s="231"/>
      <c r="F347" s="107">
        <f t="shared" si="71"/>
        <v>982</v>
      </c>
      <c r="G347" s="243"/>
      <c r="H347" s="227"/>
      <c r="I347" s="62">
        <f t="shared" si="70"/>
        <v>0</v>
      </c>
      <c r="J347" s="233"/>
      <c r="K347" s="246"/>
      <c r="L347" s="258">
        <f t="shared" si="72"/>
        <v>206690</v>
      </c>
    </row>
    <row r="348" spans="1:12" x14ac:dyDescent="0.3">
      <c r="A348" s="32"/>
      <c r="B348" s="230"/>
      <c r="C348" s="112"/>
      <c r="D348" s="231"/>
      <c r="E348" s="231"/>
      <c r="F348" s="107">
        <f t="shared" si="71"/>
        <v>982</v>
      </c>
      <c r="G348" s="223"/>
      <c r="H348" s="221"/>
      <c r="I348" s="62">
        <f t="shared" si="70"/>
        <v>0</v>
      </c>
      <c r="J348" s="229"/>
      <c r="K348" s="246"/>
      <c r="L348" s="258">
        <f t="shared" si="72"/>
        <v>206690</v>
      </c>
    </row>
    <row r="349" spans="1:12" x14ac:dyDescent="0.3">
      <c r="A349" s="32"/>
      <c r="B349" s="230"/>
      <c r="C349" s="245"/>
      <c r="D349" s="235"/>
      <c r="E349" s="231"/>
      <c r="F349" s="107">
        <f t="shared" si="71"/>
        <v>982</v>
      </c>
      <c r="G349" s="223"/>
      <c r="H349" s="227"/>
      <c r="I349" s="62">
        <f t="shared" si="70"/>
        <v>0</v>
      </c>
      <c r="J349" s="229"/>
      <c r="K349" s="246"/>
      <c r="L349" s="258">
        <f t="shared" si="72"/>
        <v>206690</v>
      </c>
    </row>
    <row r="350" spans="1:12" x14ac:dyDescent="0.3">
      <c r="A350" s="32"/>
      <c r="B350" s="230"/>
      <c r="C350" s="244"/>
      <c r="D350" s="235"/>
      <c r="E350" s="83"/>
      <c r="F350" s="107">
        <f t="shared" si="71"/>
        <v>982</v>
      </c>
      <c r="G350" s="223"/>
      <c r="H350" s="227"/>
      <c r="I350" s="62">
        <f t="shared" si="70"/>
        <v>0</v>
      </c>
      <c r="J350" s="229"/>
      <c r="K350" s="246"/>
      <c r="L350" s="258">
        <f t="shared" si="72"/>
        <v>206690</v>
      </c>
    </row>
    <row r="351" spans="1:12" x14ac:dyDescent="0.3">
      <c r="A351" s="32"/>
      <c r="B351" s="230"/>
      <c r="C351" s="245"/>
      <c r="D351" s="231"/>
      <c r="E351" s="231"/>
      <c r="F351" s="107">
        <f t="shared" si="71"/>
        <v>982</v>
      </c>
      <c r="G351" s="223"/>
      <c r="H351" s="227"/>
      <c r="I351" s="62">
        <f t="shared" si="70"/>
        <v>0</v>
      </c>
      <c r="J351" s="229"/>
      <c r="K351" s="246"/>
      <c r="L351" s="258">
        <f t="shared" si="72"/>
        <v>206690</v>
      </c>
    </row>
    <row r="352" spans="1:12" x14ac:dyDescent="0.3">
      <c r="A352" s="32"/>
      <c r="B352" s="230"/>
      <c r="C352" s="245"/>
      <c r="D352" s="235"/>
      <c r="E352" s="231"/>
      <c r="F352" s="107">
        <f t="shared" si="71"/>
        <v>982</v>
      </c>
      <c r="G352" s="223"/>
      <c r="H352" s="227"/>
      <c r="I352" s="62">
        <f t="shared" si="70"/>
        <v>0</v>
      </c>
      <c r="J352" s="248"/>
      <c r="K352" s="246"/>
      <c r="L352" s="258">
        <f t="shared" si="72"/>
        <v>206690</v>
      </c>
    </row>
    <row r="353" spans="1:12" x14ac:dyDescent="0.3">
      <c r="A353" s="32"/>
      <c r="B353" s="230"/>
      <c r="C353" s="245"/>
      <c r="D353" s="235"/>
      <c r="E353" s="231"/>
      <c r="F353" s="107">
        <f t="shared" si="71"/>
        <v>982</v>
      </c>
      <c r="G353" s="223"/>
      <c r="H353" s="227"/>
      <c r="I353" s="62">
        <f t="shared" si="70"/>
        <v>0</v>
      </c>
      <c r="J353" s="248"/>
      <c r="K353" s="246"/>
      <c r="L353" s="258">
        <f t="shared" si="72"/>
        <v>206690</v>
      </c>
    </row>
    <row r="354" spans="1:12" x14ac:dyDescent="0.3">
      <c r="A354" s="32"/>
      <c r="B354" s="230"/>
      <c r="C354" s="244"/>
      <c r="D354" s="235"/>
      <c r="E354" s="231"/>
      <c r="F354" s="107">
        <f t="shared" si="71"/>
        <v>982</v>
      </c>
      <c r="G354" s="223"/>
      <c r="H354" s="227"/>
      <c r="I354" s="62">
        <f t="shared" si="70"/>
        <v>0</v>
      </c>
      <c r="J354" s="248"/>
      <c r="K354" s="246"/>
      <c r="L354" s="258">
        <f t="shared" si="72"/>
        <v>206690</v>
      </c>
    </row>
    <row r="355" spans="1:12" x14ac:dyDescent="0.3">
      <c r="A355" s="32"/>
      <c r="B355" s="234"/>
      <c r="C355" s="244"/>
      <c r="D355" s="236"/>
      <c r="E355" s="231"/>
      <c r="F355" s="107">
        <f t="shared" si="71"/>
        <v>982</v>
      </c>
      <c r="G355" s="223"/>
      <c r="H355" s="227"/>
      <c r="I355" s="62">
        <f t="shared" si="70"/>
        <v>0</v>
      </c>
      <c r="J355" s="248"/>
      <c r="K355" s="246"/>
      <c r="L355" s="258">
        <f t="shared" si="72"/>
        <v>206690</v>
      </c>
    </row>
    <row r="356" spans="1:12" x14ac:dyDescent="0.3">
      <c r="A356" s="32"/>
      <c r="B356" s="232"/>
      <c r="C356" s="244"/>
      <c r="D356" s="235"/>
      <c r="E356" s="83"/>
      <c r="F356" s="107">
        <f t="shared" si="71"/>
        <v>982</v>
      </c>
      <c r="G356" s="223"/>
      <c r="H356" s="227"/>
      <c r="I356" s="62">
        <f t="shared" si="70"/>
        <v>0</v>
      </c>
      <c r="J356" s="248"/>
      <c r="K356" s="246"/>
      <c r="L356" s="258">
        <f t="shared" si="72"/>
        <v>206690</v>
      </c>
    </row>
    <row r="357" spans="1:12" x14ac:dyDescent="0.3">
      <c r="A357" s="32"/>
      <c r="B357" s="232"/>
      <c r="C357" s="122"/>
      <c r="D357" s="118"/>
      <c r="E357" s="83"/>
      <c r="F357" s="107">
        <f t="shared" si="71"/>
        <v>982</v>
      </c>
      <c r="G357" s="223"/>
      <c r="H357" s="227"/>
      <c r="I357" s="62">
        <f t="shared" si="70"/>
        <v>0</v>
      </c>
      <c r="J357" s="229"/>
      <c r="K357" s="246"/>
      <c r="L357" s="258">
        <f t="shared" si="72"/>
        <v>206690</v>
      </c>
    </row>
    <row r="358" spans="1:12" x14ac:dyDescent="0.3">
      <c r="A358" s="32"/>
      <c r="B358" s="232"/>
      <c r="C358" s="244"/>
      <c r="D358" s="235"/>
      <c r="E358" s="83"/>
      <c r="F358" s="107">
        <f t="shared" si="71"/>
        <v>982</v>
      </c>
      <c r="G358" s="223"/>
      <c r="H358" s="227"/>
      <c r="I358" s="62">
        <f t="shared" si="70"/>
        <v>0</v>
      </c>
      <c r="J358" s="229"/>
      <c r="K358" s="246"/>
      <c r="L358" s="258">
        <f t="shared" si="72"/>
        <v>206690</v>
      </c>
    </row>
    <row r="359" spans="1:12" x14ac:dyDescent="0.3">
      <c r="A359" s="32"/>
      <c r="B359" s="232"/>
      <c r="C359" s="122"/>
      <c r="D359" s="235"/>
      <c r="E359" s="83"/>
      <c r="F359" s="107">
        <f t="shared" si="71"/>
        <v>982</v>
      </c>
      <c r="G359" s="223"/>
      <c r="H359" s="227"/>
      <c r="I359" s="62">
        <f t="shared" si="70"/>
        <v>0</v>
      </c>
      <c r="J359" s="229"/>
      <c r="K359" s="246"/>
      <c r="L359" s="258">
        <f t="shared" si="72"/>
        <v>206690</v>
      </c>
    </row>
    <row r="360" spans="1:12" x14ac:dyDescent="0.3">
      <c r="A360" s="32"/>
      <c r="B360" s="230"/>
      <c r="C360" s="74"/>
      <c r="D360" s="53"/>
      <c r="E360" s="64"/>
      <c r="F360" s="107">
        <f t="shared" si="71"/>
        <v>982</v>
      </c>
      <c r="G360" s="223"/>
      <c r="H360" s="227"/>
      <c r="I360" s="62">
        <f t="shared" si="70"/>
        <v>0</v>
      </c>
      <c r="J360" s="65"/>
      <c r="K360" s="246"/>
      <c r="L360" s="258">
        <f t="shared" si="72"/>
        <v>206690</v>
      </c>
    </row>
    <row r="361" spans="1:12" x14ac:dyDescent="0.3">
      <c r="A361" s="32"/>
      <c r="B361" s="230"/>
      <c r="C361" s="74"/>
      <c r="D361" s="71"/>
      <c r="E361" s="64"/>
      <c r="F361" s="107">
        <f t="shared" si="71"/>
        <v>982</v>
      </c>
      <c r="G361" s="240"/>
      <c r="H361" s="226"/>
      <c r="I361" s="62">
        <f t="shared" si="70"/>
        <v>0</v>
      </c>
      <c r="J361" s="229"/>
      <c r="K361" s="81"/>
      <c r="L361" s="258">
        <f t="shared" si="72"/>
        <v>206690</v>
      </c>
    </row>
    <row r="362" spans="1:12" x14ac:dyDescent="0.3">
      <c r="A362" s="32"/>
      <c r="B362" s="222"/>
      <c r="C362" s="75"/>
      <c r="D362" s="69"/>
      <c r="E362" s="231"/>
      <c r="F362" s="107">
        <f t="shared" si="71"/>
        <v>982</v>
      </c>
      <c r="G362" s="240"/>
      <c r="H362" s="61"/>
      <c r="I362" s="62">
        <f t="shared" si="70"/>
        <v>0</v>
      </c>
      <c r="J362" s="229"/>
      <c r="K362" s="77"/>
      <c r="L362" s="258">
        <f t="shared" si="72"/>
        <v>206690</v>
      </c>
    </row>
    <row r="363" spans="1:12" x14ac:dyDescent="0.3">
      <c r="A363" s="32"/>
      <c r="B363" s="230"/>
      <c r="C363" s="55"/>
      <c r="D363" s="236"/>
      <c r="E363" s="231"/>
      <c r="F363" s="107">
        <f t="shared" si="71"/>
        <v>982</v>
      </c>
      <c r="G363" s="240"/>
      <c r="H363" s="226"/>
      <c r="I363" s="62">
        <f t="shared" si="70"/>
        <v>0</v>
      </c>
      <c r="J363" s="229"/>
      <c r="K363" s="78"/>
      <c r="L363" s="258">
        <f t="shared" si="72"/>
        <v>206690</v>
      </c>
    </row>
    <row r="364" spans="1:12" x14ac:dyDescent="0.3">
      <c r="A364" s="32"/>
      <c r="B364" s="230"/>
      <c r="C364" s="75"/>
      <c r="D364" s="73"/>
      <c r="E364" s="231"/>
      <c r="F364" s="107">
        <f t="shared" si="71"/>
        <v>982</v>
      </c>
      <c r="G364" s="240"/>
      <c r="H364" s="226"/>
      <c r="I364" s="62">
        <f t="shared" si="70"/>
        <v>0</v>
      </c>
      <c r="J364" s="229"/>
      <c r="K364" s="78"/>
      <c r="L364" s="258">
        <f t="shared" si="72"/>
        <v>206690</v>
      </c>
    </row>
    <row r="365" spans="1:12" ht="15" thickBot="1" x14ac:dyDescent="0.35">
      <c r="A365" s="32"/>
      <c r="B365" s="260"/>
      <c r="C365" s="82"/>
      <c r="D365" s="59"/>
      <c r="E365" s="66"/>
      <c r="F365" s="107">
        <f t="shared" si="71"/>
        <v>982</v>
      </c>
      <c r="G365" s="59"/>
      <c r="H365" s="60"/>
      <c r="I365" s="70">
        <f t="shared" si="70"/>
        <v>0</v>
      </c>
      <c r="J365" s="72"/>
      <c r="K365" s="79"/>
      <c r="L365" s="258">
        <f t="shared" si="72"/>
        <v>206690</v>
      </c>
    </row>
    <row r="366" spans="1:12" x14ac:dyDescent="0.3">
      <c r="A366" s="33"/>
      <c r="B366" s="24"/>
      <c r="C366" s="244"/>
      <c r="D366" s="236"/>
      <c r="E366" s="231"/>
      <c r="F366" s="107">
        <f t="shared" si="71"/>
        <v>982</v>
      </c>
      <c r="G366" s="223"/>
      <c r="H366" s="227"/>
      <c r="I366" s="255">
        <f t="shared" ref="I366:I378" si="73">I365+G366-H366</f>
        <v>0</v>
      </c>
      <c r="J366" s="229"/>
      <c r="K366" s="246"/>
      <c r="L366" s="258">
        <f t="shared" si="72"/>
        <v>206690</v>
      </c>
    </row>
    <row r="367" spans="1:12" x14ac:dyDescent="0.3">
      <c r="A367" s="33"/>
      <c r="B367" s="26"/>
      <c r="C367" s="244"/>
      <c r="D367" s="236"/>
      <c r="E367" s="231"/>
      <c r="F367" s="107">
        <f t="shared" si="71"/>
        <v>982</v>
      </c>
      <c r="G367" s="223"/>
      <c r="H367" s="227"/>
      <c r="I367" s="255">
        <f t="shared" si="73"/>
        <v>0</v>
      </c>
      <c r="J367" s="233"/>
      <c r="K367" s="246"/>
      <c r="L367" s="258">
        <f t="shared" si="72"/>
        <v>206690</v>
      </c>
    </row>
    <row r="368" spans="1:12" x14ac:dyDescent="0.3">
      <c r="A368" s="33"/>
      <c r="B368" s="26"/>
      <c r="C368" s="244"/>
      <c r="D368" s="236"/>
      <c r="E368" s="231"/>
      <c r="F368" s="107">
        <f t="shared" si="71"/>
        <v>982</v>
      </c>
      <c r="G368" s="223"/>
      <c r="H368" s="227"/>
      <c r="I368" s="255">
        <f t="shared" si="73"/>
        <v>0</v>
      </c>
      <c r="J368" s="233"/>
      <c r="K368" s="246"/>
      <c r="L368" s="258">
        <f t="shared" si="72"/>
        <v>206690</v>
      </c>
    </row>
    <row r="369" spans="1:12" x14ac:dyDescent="0.3">
      <c r="A369" s="33"/>
      <c r="B369" s="26"/>
      <c r="C369" s="74"/>
      <c r="D369" s="118"/>
      <c r="E369" s="231"/>
      <c r="F369" s="107">
        <f t="shared" si="71"/>
        <v>982</v>
      </c>
      <c r="G369" s="223"/>
      <c r="H369" s="227"/>
      <c r="I369" s="255">
        <f t="shared" si="73"/>
        <v>0</v>
      </c>
      <c r="J369" s="229"/>
      <c r="K369" s="246"/>
      <c r="L369" s="258">
        <f t="shared" si="72"/>
        <v>206690</v>
      </c>
    </row>
    <row r="370" spans="1:12" x14ac:dyDescent="0.3">
      <c r="A370" s="33"/>
      <c r="B370" s="26"/>
      <c r="C370" s="74"/>
      <c r="D370" s="237"/>
      <c r="E370" s="231"/>
      <c r="F370" s="107">
        <f t="shared" si="71"/>
        <v>982</v>
      </c>
      <c r="G370" s="223"/>
      <c r="H370" s="227"/>
      <c r="I370" s="255">
        <f t="shared" si="73"/>
        <v>0</v>
      </c>
      <c r="J370" s="229"/>
      <c r="K370" s="246"/>
      <c r="L370" s="258">
        <f t="shared" si="72"/>
        <v>206690</v>
      </c>
    </row>
    <row r="371" spans="1:12" x14ac:dyDescent="0.3">
      <c r="A371" s="33"/>
      <c r="B371" s="24"/>
      <c r="C371" s="74"/>
      <c r="D371" s="236"/>
      <c r="E371" s="231"/>
      <c r="F371" s="107">
        <f t="shared" si="71"/>
        <v>982</v>
      </c>
      <c r="G371" s="223"/>
      <c r="H371" s="227"/>
      <c r="I371" s="255">
        <f t="shared" si="73"/>
        <v>0</v>
      </c>
      <c r="J371" s="229"/>
      <c r="K371" s="246"/>
      <c r="L371" s="258">
        <f t="shared" si="72"/>
        <v>206690</v>
      </c>
    </row>
    <row r="372" spans="1:12" x14ac:dyDescent="0.3">
      <c r="A372" s="33"/>
      <c r="B372" s="24"/>
      <c r="C372" s="74"/>
      <c r="D372" s="53"/>
      <c r="E372" s="64"/>
      <c r="F372" s="107">
        <f t="shared" si="71"/>
        <v>982</v>
      </c>
      <c r="G372" s="223"/>
      <c r="H372" s="227"/>
      <c r="I372" s="255">
        <f t="shared" si="73"/>
        <v>0</v>
      </c>
      <c r="J372" s="65"/>
      <c r="K372" s="81"/>
      <c r="L372" s="258">
        <f t="shared" si="72"/>
        <v>206690</v>
      </c>
    </row>
    <row r="373" spans="1:12" x14ac:dyDescent="0.3">
      <c r="A373" s="33"/>
      <c r="B373" s="24"/>
      <c r="C373" s="74"/>
      <c r="D373" s="71"/>
      <c r="E373" s="64"/>
      <c r="F373" s="107">
        <f t="shared" si="71"/>
        <v>982</v>
      </c>
      <c r="G373" s="240"/>
      <c r="H373" s="226"/>
      <c r="I373" s="255">
        <f t="shared" si="73"/>
        <v>0</v>
      </c>
      <c r="J373" s="229"/>
      <c r="K373" s="81"/>
      <c r="L373" s="258">
        <f t="shared" si="72"/>
        <v>206690</v>
      </c>
    </row>
    <row r="374" spans="1:12" x14ac:dyDescent="0.3">
      <c r="A374" s="33"/>
      <c r="B374" s="26"/>
      <c r="C374" s="75"/>
      <c r="D374" s="69"/>
      <c r="E374" s="231"/>
      <c r="F374" s="107">
        <f t="shared" si="71"/>
        <v>982</v>
      </c>
      <c r="G374" s="240"/>
      <c r="H374" s="61"/>
      <c r="I374" s="255">
        <f t="shared" si="73"/>
        <v>0</v>
      </c>
      <c r="J374" s="229"/>
      <c r="K374" s="77"/>
      <c r="L374" s="258">
        <f t="shared" si="72"/>
        <v>206690</v>
      </c>
    </row>
    <row r="375" spans="1:12" x14ac:dyDescent="0.3">
      <c r="A375" s="33"/>
      <c r="B375" s="25"/>
      <c r="C375" s="55"/>
      <c r="D375" s="236"/>
      <c r="E375" s="231"/>
      <c r="F375" s="107">
        <f t="shared" si="71"/>
        <v>982</v>
      </c>
      <c r="G375" s="240"/>
      <c r="H375" s="226"/>
      <c r="I375" s="255">
        <f t="shared" si="73"/>
        <v>0</v>
      </c>
      <c r="J375" s="229"/>
      <c r="K375" s="78"/>
      <c r="L375" s="258">
        <f t="shared" si="72"/>
        <v>206690</v>
      </c>
    </row>
    <row r="376" spans="1:12" x14ac:dyDescent="0.3">
      <c r="A376" s="33"/>
      <c r="B376" s="24"/>
      <c r="C376" s="75"/>
      <c r="D376" s="73"/>
      <c r="E376" s="231"/>
      <c r="F376" s="107">
        <f t="shared" si="71"/>
        <v>982</v>
      </c>
      <c r="G376" s="240"/>
      <c r="H376" s="226"/>
      <c r="I376" s="255">
        <f t="shared" si="73"/>
        <v>0</v>
      </c>
      <c r="J376" s="229"/>
      <c r="K376" s="78"/>
      <c r="L376" s="258">
        <f t="shared" si="72"/>
        <v>206690</v>
      </c>
    </row>
    <row r="377" spans="1:12" ht="15" thickBot="1" x14ac:dyDescent="0.35">
      <c r="A377" s="34"/>
      <c r="B377" s="27"/>
      <c r="C377" s="82"/>
      <c r="D377" s="59"/>
      <c r="E377" s="66"/>
      <c r="F377" s="110">
        <f t="shared" si="71"/>
        <v>982</v>
      </c>
      <c r="G377" s="59"/>
      <c r="H377" s="60"/>
      <c r="I377" s="255">
        <f t="shared" si="73"/>
        <v>0</v>
      </c>
      <c r="J377" s="72"/>
      <c r="K377" s="79"/>
      <c r="L377" s="258">
        <f t="shared" si="72"/>
        <v>206690</v>
      </c>
    </row>
    <row r="378" spans="1:12" ht="15" thickBot="1" x14ac:dyDescent="0.35">
      <c r="A378" s="31"/>
      <c r="B378" s="28" t="s">
        <v>21</v>
      </c>
      <c r="C378" s="76"/>
      <c r="D378" s="56"/>
      <c r="E378" s="57"/>
      <c r="F378" s="111">
        <f t="shared" si="71"/>
        <v>982</v>
      </c>
      <c r="G378" s="105"/>
      <c r="H378" s="58"/>
      <c r="I378" s="256">
        <f t="shared" si="73"/>
        <v>0</v>
      </c>
      <c r="J378" s="63"/>
      <c r="K378" s="80"/>
      <c r="L378" s="259">
        <f>L377+J378-K378</f>
        <v>206690</v>
      </c>
    </row>
    <row r="379" spans="1:12" x14ac:dyDescent="0.3">
      <c r="A379" s="30"/>
      <c r="B379" s="29" t="s">
        <v>22</v>
      </c>
      <c r="C379" s="98"/>
      <c r="D379" s="99"/>
      <c r="E379" s="99"/>
      <c r="F379" s="252">
        <v>5080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"/>
  <sheetViews>
    <sheetView workbookViewId="0">
      <pane xSplit="1" ySplit="5" topLeftCell="B355" activePane="bottomRight" state="frozen"/>
      <selection pane="topRight" activeCell="B1" sqref="B1"/>
      <selection pane="bottomLeft" activeCell="A6" sqref="A6"/>
      <selection pane="bottomRight" activeCell="H248" sqref="H248"/>
    </sheetView>
  </sheetViews>
  <sheetFormatPr baseColWidth="10" defaultRowHeight="14.4" x14ac:dyDescent="0.3"/>
  <cols>
    <col min="1" max="1" width="10.33203125" style="225" customWidth="1"/>
    <col min="2" max="2" width="50.5546875" style="225" bestFit="1" customWidth="1"/>
    <col min="3" max="5" width="11.5546875" style="225"/>
    <col min="6" max="6" width="11.5546875" style="109"/>
    <col min="7" max="7" width="11.5546875" style="225"/>
    <col min="8" max="8" width="12.21875" style="225" bestFit="1" customWidth="1"/>
    <col min="9" max="9" width="11.5546875" style="109"/>
    <col min="10" max="10" width="13.77734375" style="225" customWidth="1"/>
    <col min="11" max="11" width="13.33203125" style="225" customWidth="1"/>
    <col min="12" max="12" width="12.6640625" style="109" bestFit="1" customWidth="1"/>
    <col min="13" max="16384" width="11.5546875" style="225"/>
  </cols>
  <sheetData>
    <row r="1" spans="1:12" ht="18" x14ac:dyDescent="0.35">
      <c r="A1" s="262" t="s">
        <v>0</v>
      </c>
      <c r="B1" s="47"/>
    </row>
    <row r="2" spans="1:12" ht="18.600000000000001" thickBot="1" x14ac:dyDescent="0.4">
      <c r="A2" s="261" t="s">
        <v>47</v>
      </c>
      <c r="B2" s="48"/>
      <c r="L2" s="263">
        <v>46143</v>
      </c>
    </row>
    <row r="3" spans="1:12" ht="16.2" thickBot="1" x14ac:dyDescent="0.35">
      <c r="A3" s="101"/>
      <c r="B3" s="1" t="s">
        <v>1</v>
      </c>
      <c r="C3" s="49"/>
      <c r="D3" s="51" t="s">
        <v>2</v>
      </c>
      <c r="E3" s="52"/>
      <c r="F3" s="106"/>
      <c r="G3" s="52"/>
      <c r="H3" s="50" t="s">
        <v>3</v>
      </c>
      <c r="I3" s="253"/>
      <c r="J3" s="35" t="s">
        <v>4</v>
      </c>
      <c r="K3" s="36"/>
      <c r="L3" s="238"/>
    </row>
    <row r="4" spans="1:12" ht="15" thickBot="1" x14ac:dyDescent="0.35">
      <c r="A4" s="103"/>
      <c r="B4" s="22"/>
      <c r="C4" s="91" t="s">
        <v>5</v>
      </c>
      <c r="D4" s="92" t="s">
        <v>6</v>
      </c>
      <c r="E4" s="93" t="s">
        <v>7</v>
      </c>
      <c r="F4" s="249" t="s">
        <v>8</v>
      </c>
      <c r="G4" s="94" t="s">
        <v>9</v>
      </c>
      <c r="H4" s="95" t="s">
        <v>10</v>
      </c>
      <c r="I4" s="250" t="s">
        <v>11</v>
      </c>
      <c r="J4" s="96" t="s">
        <v>12</v>
      </c>
      <c r="K4" s="97" t="s">
        <v>13</v>
      </c>
      <c r="L4" s="251" t="s">
        <v>14</v>
      </c>
    </row>
    <row r="5" spans="1:12" x14ac:dyDescent="0.3">
      <c r="A5" s="102"/>
      <c r="B5" s="23" t="s">
        <v>15</v>
      </c>
      <c r="C5" s="84"/>
      <c r="D5" s="290">
        <f>'042026'!F331</f>
        <v>1184</v>
      </c>
      <c r="E5" s="86"/>
      <c r="F5" s="108">
        <f>D5</f>
        <v>1184</v>
      </c>
      <c r="G5" s="87">
        <v>0</v>
      </c>
      <c r="H5" s="88"/>
      <c r="I5" s="254">
        <v>0</v>
      </c>
      <c r="J5" s="89">
        <v>294216</v>
      </c>
      <c r="K5" s="90"/>
      <c r="L5" s="257">
        <f>J5</f>
        <v>294216</v>
      </c>
    </row>
    <row r="6" spans="1:12" x14ac:dyDescent="0.3">
      <c r="A6" s="32">
        <v>46144</v>
      </c>
      <c r="B6" s="232" t="s">
        <v>52</v>
      </c>
      <c r="C6" s="244"/>
      <c r="D6" s="236"/>
      <c r="E6" s="231"/>
      <c r="F6" s="54">
        <f>+F5+C6+D6-E6</f>
        <v>1184</v>
      </c>
      <c r="G6" s="240"/>
      <c r="H6" s="226">
        <v>0</v>
      </c>
      <c r="I6" s="62">
        <f t="shared" ref="I6:I69" si="0">+I5+G6-H6</f>
        <v>0</v>
      </c>
      <c r="J6" s="247"/>
      <c r="K6" s="246">
        <v>10000</v>
      </c>
      <c r="L6" s="67">
        <f>+L5+J6-K6</f>
        <v>284216</v>
      </c>
    </row>
    <row r="7" spans="1:12" x14ac:dyDescent="0.3">
      <c r="A7" s="32">
        <v>46146</v>
      </c>
      <c r="B7" s="230" t="s">
        <v>234</v>
      </c>
      <c r="C7" s="244"/>
      <c r="D7" s="236"/>
      <c r="E7" s="231">
        <v>50</v>
      </c>
      <c r="F7" s="54">
        <f>+F6+C7+D7-E7</f>
        <v>1134</v>
      </c>
      <c r="G7" s="240"/>
      <c r="H7" s="226">
        <v>0</v>
      </c>
      <c r="I7" s="62">
        <f t="shared" si="0"/>
        <v>0</v>
      </c>
      <c r="J7" s="247"/>
      <c r="K7" s="246"/>
      <c r="L7" s="67">
        <f>+L6+J7-K7</f>
        <v>284216</v>
      </c>
    </row>
    <row r="8" spans="1:12" x14ac:dyDescent="0.3">
      <c r="A8" s="32">
        <v>46146</v>
      </c>
      <c r="B8" s="230" t="s">
        <v>27</v>
      </c>
      <c r="C8" s="244"/>
      <c r="D8" s="237"/>
      <c r="E8" s="231">
        <v>40</v>
      </c>
      <c r="F8" s="54">
        <f t="shared" ref="F8:F24" si="1">+F7+C8+D8-E8</f>
        <v>1094</v>
      </c>
      <c r="G8" s="241"/>
      <c r="H8" s="226"/>
      <c r="I8" s="62">
        <f t="shared" si="0"/>
        <v>0</v>
      </c>
      <c r="J8" s="289"/>
      <c r="K8" s="246"/>
      <c r="L8" s="67">
        <f t="shared" ref="L8:L24" si="2">+L7+J8-K8</f>
        <v>284216</v>
      </c>
    </row>
    <row r="9" spans="1:12" x14ac:dyDescent="0.3">
      <c r="A9" s="32">
        <v>46146</v>
      </c>
      <c r="B9" s="230" t="s">
        <v>28</v>
      </c>
      <c r="C9" s="244"/>
      <c r="D9" s="237"/>
      <c r="E9" s="231">
        <v>50</v>
      </c>
      <c r="F9" s="54">
        <f t="shared" si="1"/>
        <v>1044</v>
      </c>
      <c r="G9" s="241"/>
      <c r="H9" s="226"/>
      <c r="I9" s="62">
        <f t="shared" si="0"/>
        <v>0</v>
      </c>
      <c r="J9" s="130"/>
      <c r="K9" s="246"/>
      <c r="L9" s="67">
        <f t="shared" si="2"/>
        <v>284216</v>
      </c>
    </row>
    <row r="10" spans="1:12" x14ac:dyDescent="0.3">
      <c r="A10" s="32">
        <v>46146</v>
      </c>
      <c r="B10" s="230" t="s">
        <v>214</v>
      </c>
      <c r="C10" s="244"/>
      <c r="D10" s="237"/>
      <c r="E10" s="231">
        <v>70</v>
      </c>
      <c r="F10" s="54">
        <f t="shared" si="1"/>
        <v>974</v>
      </c>
      <c r="G10" s="241"/>
      <c r="H10" s="280"/>
      <c r="I10" s="62">
        <f t="shared" si="0"/>
        <v>0</v>
      </c>
      <c r="J10" s="37"/>
      <c r="K10" s="246"/>
      <c r="L10" s="67">
        <f t="shared" si="2"/>
        <v>284216</v>
      </c>
    </row>
    <row r="11" spans="1:12" x14ac:dyDescent="0.3">
      <c r="A11" s="32">
        <v>46146</v>
      </c>
      <c r="B11" s="230" t="s">
        <v>215</v>
      </c>
      <c r="C11" s="244"/>
      <c r="D11" s="237"/>
      <c r="E11" s="231">
        <v>10</v>
      </c>
      <c r="F11" s="54">
        <f t="shared" si="1"/>
        <v>964</v>
      </c>
      <c r="G11" s="240"/>
      <c r="H11" s="226"/>
      <c r="I11" s="62">
        <f t="shared" si="0"/>
        <v>0</v>
      </c>
      <c r="J11" s="37"/>
      <c r="K11" s="246"/>
      <c r="L11" s="67">
        <f t="shared" si="2"/>
        <v>284216</v>
      </c>
    </row>
    <row r="12" spans="1:12" x14ac:dyDescent="0.3">
      <c r="A12" s="32">
        <v>46146</v>
      </c>
      <c r="B12" s="232" t="s">
        <v>775</v>
      </c>
      <c r="C12" s="244">
        <v>20000</v>
      </c>
      <c r="D12" s="236"/>
      <c r="E12" s="231"/>
      <c r="F12" s="54">
        <f t="shared" si="1"/>
        <v>20964</v>
      </c>
      <c r="G12" s="240"/>
      <c r="H12" s="226"/>
      <c r="I12" s="62">
        <f t="shared" si="0"/>
        <v>0</v>
      </c>
      <c r="J12" s="229"/>
      <c r="K12" s="246"/>
      <c r="L12" s="67">
        <f t="shared" si="2"/>
        <v>284216</v>
      </c>
    </row>
    <row r="13" spans="1:12" x14ac:dyDescent="0.3">
      <c r="A13" s="32">
        <v>46146</v>
      </c>
      <c r="B13" s="232" t="s">
        <v>776</v>
      </c>
      <c r="C13" s="244"/>
      <c r="D13" s="236"/>
      <c r="E13" s="83">
        <v>19000</v>
      </c>
      <c r="F13" s="54">
        <f t="shared" si="1"/>
        <v>1964</v>
      </c>
      <c r="G13" s="240"/>
      <c r="H13" s="228"/>
      <c r="I13" s="62">
        <f t="shared" si="0"/>
        <v>0</v>
      </c>
      <c r="J13" s="266"/>
      <c r="K13" s="246"/>
      <c r="L13" s="67">
        <f t="shared" si="2"/>
        <v>284216</v>
      </c>
    </row>
    <row r="14" spans="1:12" x14ac:dyDescent="0.3">
      <c r="A14" s="32">
        <v>46146</v>
      </c>
      <c r="B14" s="230" t="s">
        <v>777</v>
      </c>
      <c r="C14" s="245"/>
      <c r="D14" s="236"/>
      <c r="E14" s="231">
        <v>250</v>
      </c>
      <c r="F14" s="54">
        <f t="shared" si="1"/>
        <v>1714</v>
      </c>
      <c r="G14" s="241"/>
      <c r="H14" s="226"/>
      <c r="I14" s="62">
        <f t="shared" si="0"/>
        <v>0</v>
      </c>
      <c r="J14" s="130"/>
      <c r="K14" s="246"/>
      <c r="L14" s="67">
        <f t="shared" si="2"/>
        <v>284216</v>
      </c>
    </row>
    <row r="15" spans="1:12" x14ac:dyDescent="0.3">
      <c r="A15" s="32">
        <v>46146</v>
      </c>
      <c r="B15" s="230" t="s">
        <v>778</v>
      </c>
      <c r="C15" s="244"/>
      <c r="D15" s="236"/>
      <c r="E15" s="231"/>
      <c r="F15" s="54">
        <f t="shared" si="1"/>
        <v>1714</v>
      </c>
      <c r="G15" s="240"/>
      <c r="H15" s="226"/>
      <c r="I15" s="62">
        <f t="shared" si="0"/>
        <v>0</v>
      </c>
      <c r="J15" s="264"/>
      <c r="K15" s="246">
        <v>15000</v>
      </c>
      <c r="L15" s="67">
        <f t="shared" si="2"/>
        <v>269216</v>
      </c>
    </row>
    <row r="16" spans="1:12" x14ac:dyDescent="0.3">
      <c r="A16" s="32">
        <v>46146</v>
      </c>
      <c r="B16" s="230" t="s">
        <v>779</v>
      </c>
      <c r="C16" s="244"/>
      <c r="D16" s="236"/>
      <c r="E16" s="231">
        <v>300</v>
      </c>
      <c r="F16" s="54">
        <f t="shared" si="1"/>
        <v>1414</v>
      </c>
      <c r="G16" s="240"/>
      <c r="H16" s="226"/>
      <c r="I16" s="62">
        <f t="shared" si="0"/>
        <v>0</v>
      </c>
      <c r="J16" s="264"/>
      <c r="K16" s="246"/>
      <c r="L16" s="67">
        <f t="shared" si="2"/>
        <v>269216</v>
      </c>
    </row>
    <row r="17" spans="1:12" x14ac:dyDescent="0.3">
      <c r="A17" s="32">
        <v>46146</v>
      </c>
      <c r="B17" s="230" t="s">
        <v>24</v>
      </c>
      <c r="C17" s="244"/>
      <c r="D17" s="236"/>
      <c r="E17" s="231">
        <v>80</v>
      </c>
      <c r="F17" s="54">
        <f t="shared" si="1"/>
        <v>1334</v>
      </c>
      <c r="G17" s="240"/>
      <c r="H17" s="226"/>
      <c r="I17" s="62">
        <f t="shared" si="0"/>
        <v>0</v>
      </c>
      <c r="J17" s="248"/>
      <c r="K17" s="246"/>
      <c r="L17" s="67">
        <f t="shared" si="2"/>
        <v>269216</v>
      </c>
    </row>
    <row r="18" spans="1:12" x14ac:dyDescent="0.3">
      <c r="A18" s="32">
        <v>46146</v>
      </c>
      <c r="B18" s="230" t="s">
        <v>25</v>
      </c>
      <c r="C18" s="244"/>
      <c r="D18" s="237"/>
      <c r="E18" s="231">
        <v>20</v>
      </c>
      <c r="F18" s="54">
        <f t="shared" si="1"/>
        <v>1314</v>
      </c>
      <c r="G18" s="240"/>
      <c r="H18" s="226"/>
      <c r="I18" s="62">
        <f t="shared" si="0"/>
        <v>0</v>
      </c>
      <c r="J18" s="248"/>
      <c r="K18" s="246"/>
      <c r="L18" s="67">
        <f t="shared" si="2"/>
        <v>269216</v>
      </c>
    </row>
    <row r="19" spans="1:12" x14ac:dyDescent="0.3">
      <c r="A19" s="32">
        <v>46146</v>
      </c>
      <c r="B19" s="230" t="s">
        <v>292</v>
      </c>
      <c r="C19" s="244"/>
      <c r="D19" s="236"/>
      <c r="E19" s="231">
        <v>40</v>
      </c>
      <c r="F19" s="54">
        <f t="shared" si="1"/>
        <v>1274</v>
      </c>
      <c r="G19" s="241"/>
      <c r="H19" s="226"/>
      <c r="I19" s="62">
        <f t="shared" si="0"/>
        <v>0</v>
      </c>
      <c r="J19" s="271"/>
      <c r="K19" s="246"/>
      <c r="L19" s="67">
        <f t="shared" si="2"/>
        <v>269216</v>
      </c>
    </row>
    <row r="20" spans="1:12" x14ac:dyDescent="0.3">
      <c r="A20" s="32">
        <v>46146</v>
      </c>
      <c r="B20" s="230" t="s">
        <v>780</v>
      </c>
      <c r="C20" s="244"/>
      <c r="D20" s="237"/>
      <c r="E20" s="231">
        <v>100</v>
      </c>
      <c r="F20" s="54">
        <f t="shared" si="1"/>
        <v>1174</v>
      </c>
      <c r="G20" s="241"/>
      <c r="H20" s="226"/>
      <c r="I20" s="62">
        <f t="shared" si="0"/>
        <v>0</v>
      </c>
      <c r="J20" s="248"/>
      <c r="K20" s="246"/>
      <c r="L20" s="67">
        <f t="shared" si="2"/>
        <v>269216</v>
      </c>
    </row>
    <row r="21" spans="1:12" x14ac:dyDescent="0.3">
      <c r="A21" s="32">
        <v>46146</v>
      </c>
      <c r="B21" s="230" t="s">
        <v>781</v>
      </c>
      <c r="C21" s="244"/>
      <c r="D21" s="236"/>
      <c r="E21" s="231">
        <v>105</v>
      </c>
      <c r="F21" s="54">
        <f t="shared" si="1"/>
        <v>1069</v>
      </c>
      <c r="G21" s="242"/>
      <c r="H21" s="227"/>
      <c r="I21" s="62">
        <f t="shared" si="0"/>
        <v>0</v>
      </c>
      <c r="J21" s="271"/>
      <c r="K21" s="246"/>
      <c r="L21" s="67">
        <f t="shared" si="2"/>
        <v>269216</v>
      </c>
    </row>
    <row r="22" spans="1:12" x14ac:dyDescent="0.3">
      <c r="A22" s="32">
        <v>46146</v>
      </c>
      <c r="B22" s="230" t="s">
        <v>782</v>
      </c>
      <c r="C22" s="244"/>
      <c r="D22" s="237"/>
      <c r="E22" s="231"/>
      <c r="F22" s="54">
        <f t="shared" si="1"/>
        <v>1069</v>
      </c>
      <c r="G22" s="243"/>
      <c r="H22" s="227"/>
      <c r="I22" s="62">
        <f t="shared" si="0"/>
        <v>0</v>
      </c>
      <c r="J22" s="233"/>
      <c r="K22" s="246">
        <v>20000</v>
      </c>
      <c r="L22" s="67">
        <f t="shared" si="2"/>
        <v>249216</v>
      </c>
    </row>
    <row r="23" spans="1:12" x14ac:dyDescent="0.3">
      <c r="A23" s="32">
        <v>46146</v>
      </c>
      <c r="B23" s="230" t="s">
        <v>783</v>
      </c>
      <c r="C23" s="239"/>
      <c r="D23" s="237"/>
      <c r="E23" s="231">
        <v>10</v>
      </c>
      <c r="F23" s="54">
        <f t="shared" si="1"/>
        <v>1059</v>
      </c>
      <c r="G23" s="223"/>
      <c r="H23" s="221"/>
      <c r="I23" s="62">
        <f t="shared" si="0"/>
        <v>0</v>
      </c>
      <c r="J23" s="229"/>
      <c r="K23" s="246"/>
      <c r="L23" s="67">
        <f t="shared" si="2"/>
        <v>249216</v>
      </c>
    </row>
    <row r="24" spans="1:12" x14ac:dyDescent="0.3">
      <c r="A24" s="32">
        <v>46146</v>
      </c>
      <c r="B24" s="232" t="s">
        <v>784</v>
      </c>
      <c r="C24" s="244"/>
      <c r="D24" s="236"/>
      <c r="E24" s="231"/>
      <c r="F24" s="54">
        <f t="shared" si="1"/>
        <v>1059</v>
      </c>
      <c r="G24" s="223"/>
      <c r="H24" s="227"/>
      <c r="I24" s="62">
        <f t="shared" si="0"/>
        <v>0</v>
      </c>
      <c r="J24" s="264">
        <v>250500</v>
      </c>
      <c r="K24" s="246"/>
      <c r="L24" s="67">
        <f t="shared" si="2"/>
        <v>499716</v>
      </c>
    </row>
    <row r="25" spans="1:12" x14ac:dyDescent="0.3">
      <c r="A25" s="32">
        <v>46147</v>
      </c>
      <c r="B25" s="234" t="s">
        <v>16</v>
      </c>
      <c r="C25" s="244"/>
      <c r="D25" s="236">
        <v>2000</v>
      </c>
      <c r="E25" s="231"/>
      <c r="F25" s="54">
        <f>+F24+C25+D25-E25</f>
        <v>3059</v>
      </c>
      <c r="G25" s="240"/>
      <c r="H25" s="226">
        <v>0</v>
      </c>
      <c r="I25" s="62">
        <f t="shared" si="0"/>
        <v>0</v>
      </c>
      <c r="J25" s="247"/>
      <c r="K25" s="246"/>
      <c r="L25" s="67">
        <f>+L24+J25-K25</f>
        <v>499716</v>
      </c>
    </row>
    <row r="26" spans="1:12" x14ac:dyDescent="0.3">
      <c r="A26" s="32">
        <v>46147</v>
      </c>
      <c r="B26" s="222" t="s">
        <v>785</v>
      </c>
      <c r="C26" s="244"/>
      <c r="D26" s="237">
        <v>9000</v>
      </c>
      <c r="E26" s="231"/>
      <c r="F26" s="54">
        <f t="shared" ref="F26:F45" si="3">+F25+C26+D26-E26</f>
        <v>12059</v>
      </c>
      <c r="G26" s="241"/>
      <c r="H26" s="226"/>
      <c r="I26" s="62">
        <f t="shared" si="0"/>
        <v>0</v>
      </c>
      <c r="J26" s="289"/>
      <c r="K26" s="246"/>
      <c r="L26" s="67">
        <f t="shared" ref="L26:L45" si="4">+L25+J26-K26</f>
        <v>499716</v>
      </c>
    </row>
    <row r="27" spans="1:12" x14ac:dyDescent="0.3">
      <c r="A27" s="32">
        <v>46147</v>
      </c>
      <c r="B27" s="230" t="s">
        <v>61</v>
      </c>
      <c r="C27" s="244"/>
      <c r="D27" s="237"/>
      <c r="E27" s="231"/>
      <c r="F27" s="54">
        <f t="shared" si="3"/>
        <v>12059</v>
      </c>
      <c r="G27" s="241"/>
      <c r="H27" s="226"/>
      <c r="I27" s="62">
        <f t="shared" si="0"/>
        <v>0</v>
      </c>
      <c r="J27" s="130"/>
      <c r="K27" s="246">
        <v>210000</v>
      </c>
      <c r="L27" s="67">
        <f t="shared" si="4"/>
        <v>289716</v>
      </c>
    </row>
    <row r="28" spans="1:12" x14ac:dyDescent="0.3">
      <c r="A28" s="32">
        <v>46147</v>
      </c>
      <c r="B28" s="230" t="s">
        <v>786</v>
      </c>
      <c r="C28" s="244"/>
      <c r="D28" s="237"/>
      <c r="E28" s="231">
        <v>2500</v>
      </c>
      <c r="F28" s="54">
        <f t="shared" si="3"/>
        <v>9559</v>
      </c>
      <c r="G28" s="241"/>
      <c r="H28" s="280"/>
      <c r="I28" s="62">
        <f t="shared" si="0"/>
        <v>0</v>
      </c>
      <c r="J28" s="37"/>
      <c r="K28" s="246"/>
      <c r="L28" s="67">
        <f t="shared" si="4"/>
        <v>289716</v>
      </c>
    </row>
    <row r="29" spans="1:12" x14ac:dyDescent="0.3">
      <c r="A29" s="32">
        <v>46147</v>
      </c>
      <c r="B29" s="230" t="s">
        <v>787</v>
      </c>
      <c r="C29" s="244"/>
      <c r="D29" s="237"/>
      <c r="E29" s="231">
        <v>2400</v>
      </c>
      <c r="F29" s="54">
        <f t="shared" si="3"/>
        <v>7159</v>
      </c>
      <c r="G29" s="240"/>
      <c r="H29" s="226"/>
      <c r="I29" s="62">
        <f t="shared" si="0"/>
        <v>0</v>
      </c>
      <c r="J29" s="37"/>
      <c r="K29" s="246"/>
      <c r="L29" s="67">
        <f t="shared" si="4"/>
        <v>289716</v>
      </c>
    </row>
    <row r="30" spans="1:12" x14ac:dyDescent="0.3">
      <c r="A30" s="32">
        <v>46147</v>
      </c>
      <c r="B30" s="232" t="s">
        <v>788</v>
      </c>
      <c r="C30" s="244"/>
      <c r="D30" s="236"/>
      <c r="E30" s="231">
        <v>3000</v>
      </c>
      <c r="F30" s="54">
        <f t="shared" si="3"/>
        <v>4159</v>
      </c>
      <c r="G30" s="240"/>
      <c r="H30" s="226"/>
      <c r="I30" s="62">
        <f t="shared" si="0"/>
        <v>0</v>
      </c>
      <c r="J30" s="229"/>
      <c r="K30" s="246"/>
      <c r="L30" s="67">
        <f t="shared" si="4"/>
        <v>289716</v>
      </c>
    </row>
    <row r="31" spans="1:12" x14ac:dyDescent="0.3">
      <c r="A31" s="32">
        <v>46147</v>
      </c>
      <c r="B31" s="230" t="s">
        <v>789</v>
      </c>
      <c r="C31" s="244"/>
      <c r="D31" s="236"/>
      <c r="E31" s="231">
        <v>160</v>
      </c>
      <c r="F31" s="54">
        <f t="shared" si="3"/>
        <v>3999</v>
      </c>
      <c r="G31" s="240"/>
      <c r="H31" s="228"/>
      <c r="I31" s="62">
        <f t="shared" si="0"/>
        <v>0</v>
      </c>
      <c r="J31" s="266"/>
      <c r="K31" s="246"/>
      <c r="L31" s="67">
        <f t="shared" si="4"/>
        <v>289716</v>
      </c>
    </row>
    <row r="32" spans="1:12" x14ac:dyDescent="0.3">
      <c r="A32" s="32">
        <v>46147</v>
      </c>
      <c r="B32" s="230" t="s">
        <v>790</v>
      </c>
      <c r="C32" s="245"/>
      <c r="D32" s="236"/>
      <c r="E32" s="231">
        <v>299</v>
      </c>
      <c r="F32" s="54">
        <f t="shared" si="3"/>
        <v>3700</v>
      </c>
      <c r="G32" s="241"/>
      <c r="H32" s="226"/>
      <c r="I32" s="62">
        <f t="shared" si="0"/>
        <v>0</v>
      </c>
      <c r="J32" s="130"/>
      <c r="K32" s="246"/>
      <c r="L32" s="67">
        <f t="shared" si="4"/>
        <v>289716</v>
      </c>
    </row>
    <row r="33" spans="1:12" x14ac:dyDescent="0.3">
      <c r="A33" s="32">
        <v>46147</v>
      </c>
      <c r="B33" s="230" t="s">
        <v>791</v>
      </c>
      <c r="C33" s="244"/>
      <c r="D33" s="236"/>
      <c r="E33" s="231">
        <v>500</v>
      </c>
      <c r="F33" s="54">
        <f t="shared" si="3"/>
        <v>3200</v>
      </c>
      <c r="G33" s="240"/>
      <c r="H33" s="226"/>
      <c r="I33" s="62">
        <f t="shared" si="0"/>
        <v>0</v>
      </c>
      <c r="J33" s="264"/>
      <c r="K33" s="246"/>
      <c r="L33" s="67">
        <f t="shared" si="4"/>
        <v>289716</v>
      </c>
    </row>
    <row r="34" spans="1:12" x14ac:dyDescent="0.3">
      <c r="A34" s="32">
        <v>46147</v>
      </c>
      <c r="B34" s="230" t="s">
        <v>792</v>
      </c>
      <c r="C34" s="244"/>
      <c r="D34" s="236"/>
      <c r="E34" s="231">
        <v>1239</v>
      </c>
      <c r="F34" s="54">
        <f t="shared" si="3"/>
        <v>1961</v>
      </c>
      <c r="G34" s="240"/>
      <c r="H34" s="226"/>
      <c r="I34" s="62">
        <f t="shared" si="0"/>
        <v>0</v>
      </c>
      <c r="J34" s="264"/>
      <c r="K34" s="246"/>
      <c r="L34" s="67">
        <f t="shared" si="4"/>
        <v>289716</v>
      </c>
    </row>
    <row r="35" spans="1:12" x14ac:dyDescent="0.3">
      <c r="A35" s="32">
        <v>46147</v>
      </c>
      <c r="B35" s="230" t="s">
        <v>793</v>
      </c>
      <c r="C35" s="244"/>
      <c r="D35" s="236"/>
      <c r="E35" s="231">
        <v>420</v>
      </c>
      <c r="F35" s="54">
        <f t="shared" si="3"/>
        <v>1541</v>
      </c>
      <c r="G35" s="240"/>
      <c r="H35" s="226"/>
      <c r="I35" s="62">
        <f t="shared" si="0"/>
        <v>0</v>
      </c>
      <c r="J35" s="248"/>
      <c r="K35" s="246"/>
      <c r="L35" s="67">
        <f t="shared" si="4"/>
        <v>289716</v>
      </c>
    </row>
    <row r="36" spans="1:12" x14ac:dyDescent="0.3">
      <c r="A36" s="32">
        <v>46147</v>
      </c>
      <c r="B36" s="230" t="s">
        <v>794</v>
      </c>
      <c r="C36" s="244"/>
      <c r="D36" s="236"/>
      <c r="E36" s="231">
        <v>225</v>
      </c>
      <c r="F36" s="54">
        <f t="shared" si="3"/>
        <v>1316</v>
      </c>
      <c r="G36" s="240"/>
      <c r="H36" s="226"/>
      <c r="I36" s="62">
        <f t="shared" si="0"/>
        <v>0</v>
      </c>
      <c r="J36" s="248"/>
      <c r="K36" s="246"/>
      <c r="L36" s="67">
        <f t="shared" si="4"/>
        <v>289716</v>
      </c>
    </row>
    <row r="37" spans="1:12" x14ac:dyDescent="0.3">
      <c r="A37" s="32">
        <v>46147</v>
      </c>
      <c r="B37" s="230" t="s">
        <v>795</v>
      </c>
      <c r="C37" s="244"/>
      <c r="D37" s="237"/>
      <c r="E37" s="231">
        <v>310</v>
      </c>
      <c r="F37" s="54">
        <f t="shared" si="3"/>
        <v>1006</v>
      </c>
      <c r="G37" s="241"/>
      <c r="H37" s="226"/>
      <c r="I37" s="62">
        <f t="shared" si="0"/>
        <v>0</v>
      </c>
      <c r="J37" s="271"/>
      <c r="K37" s="246"/>
      <c r="L37" s="67">
        <f t="shared" si="4"/>
        <v>289716</v>
      </c>
    </row>
    <row r="38" spans="1:12" x14ac:dyDescent="0.3">
      <c r="A38" s="32">
        <v>46147</v>
      </c>
      <c r="B38" s="230" t="s">
        <v>78</v>
      </c>
      <c r="C38" s="244"/>
      <c r="D38" s="236"/>
      <c r="E38" s="231">
        <v>60</v>
      </c>
      <c r="F38" s="54">
        <f t="shared" si="3"/>
        <v>946</v>
      </c>
      <c r="G38" s="241"/>
      <c r="H38" s="226"/>
      <c r="I38" s="62">
        <f t="shared" si="0"/>
        <v>0</v>
      </c>
      <c r="J38" s="248"/>
      <c r="K38" s="246"/>
      <c r="L38" s="67">
        <f t="shared" si="4"/>
        <v>289716</v>
      </c>
    </row>
    <row r="39" spans="1:12" x14ac:dyDescent="0.3">
      <c r="A39" s="32">
        <v>46147</v>
      </c>
      <c r="B39" s="230" t="s">
        <v>796</v>
      </c>
      <c r="C39" s="244"/>
      <c r="D39" s="237"/>
      <c r="E39" s="231">
        <v>225</v>
      </c>
      <c r="F39" s="54">
        <f t="shared" si="3"/>
        <v>721</v>
      </c>
      <c r="G39" s="242"/>
      <c r="H39" s="227"/>
      <c r="I39" s="62">
        <f t="shared" si="0"/>
        <v>0</v>
      </c>
      <c r="J39" s="271"/>
      <c r="K39" s="246"/>
      <c r="L39" s="67">
        <f t="shared" si="4"/>
        <v>289716</v>
      </c>
    </row>
    <row r="40" spans="1:12" x14ac:dyDescent="0.3">
      <c r="A40" s="32">
        <v>46147</v>
      </c>
      <c r="B40" s="230" t="s">
        <v>797</v>
      </c>
      <c r="C40" s="239"/>
      <c r="D40" s="237"/>
      <c r="E40" s="231">
        <v>100</v>
      </c>
      <c r="F40" s="54">
        <f t="shared" si="3"/>
        <v>621</v>
      </c>
      <c r="G40" s="243"/>
      <c r="H40" s="227"/>
      <c r="I40" s="62">
        <f t="shared" si="0"/>
        <v>0</v>
      </c>
      <c r="J40" s="233"/>
      <c r="K40" s="246"/>
      <c r="L40" s="67">
        <f t="shared" si="4"/>
        <v>289716</v>
      </c>
    </row>
    <row r="41" spans="1:12" x14ac:dyDescent="0.3">
      <c r="A41" s="32">
        <v>46147</v>
      </c>
      <c r="B41" s="222" t="s">
        <v>23</v>
      </c>
      <c r="C41" s="244"/>
      <c r="D41" s="236"/>
      <c r="E41" s="231">
        <v>50</v>
      </c>
      <c r="F41" s="54">
        <f t="shared" si="3"/>
        <v>571</v>
      </c>
      <c r="G41" s="223"/>
      <c r="H41" s="221"/>
      <c r="I41" s="62">
        <f t="shared" si="0"/>
        <v>0</v>
      </c>
      <c r="J41" s="271">
        <v>112500</v>
      </c>
      <c r="K41" s="246"/>
      <c r="L41" s="67">
        <f t="shared" si="4"/>
        <v>402216</v>
      </c>
    </row>
    <row r="42" spans="1:12" x14ac:dyDescent="0.3">
      <c r="A42" s="32">
        <v>46147</v>
      </c>
      <c r="B42" s="230" t="s">
        <v>83</v>
      </c>
      <c r="C42" s="244"/>
      <c r="D42" s="236"/>
      <c r="E42" s="231"/>
      <c r="F42" s="54">
        <f t="shared" si="3"/>
        <v>571</v>
      </c>
      <c r="G42" s="223"/>
      <c r="H42" s="227"/>
      <c r="I42" s="62">
        <f t="shared" si="0"/>
        <v>0</v>
      </c>
      <c r="J42" s="264"/>
      <c r="K42" s="246">
        <v>180000</v>
      </c>
      <c r="L42" s="67">
        <f t="shared" si="4"/>
        <v>222216</v>
      </c>
    </row>
    <row r="43" spans="1:12" x14ac:dyDescent="0.3">
      <c r="A43" s="32">
        <v>46147</v>
      </c>
      <c r="B43" s="230" t="s">
        <v>96</v>
      </c>
      <c r="C43" s="244"/>
      <c r="D43" s="236"/>
      <c r="E43" s="231"/>
      <c r="F43" s="54">
        <f t="shared" si="3"/>
        <v>571</v>
      </c>
      <c r="G43" s="223"/>
      <c r="H43" s="227"/>
      <c r="I43" s="62">
        <f t="shared" si="0"/>
        <v>0</v>
      </c>
      <c r="J43" s="264"/>
      <c r="K43" s="246">
        <v>35000</v>
      </c>
      <c r="L43" s="67">
        <f t="shared" si="4"/>
        <v>187216</v>
      </c>
    </row>
    <row r="44" spans="1:12" x14ac:dyDescent="0.3">
      <c r="A44" s="32">
        <v>46147</v>
      </c>
      <c r="B44" s="230" t="s">
        <v>798</v>
      </c>
      <c r="C44" s="244"/>
      <c r="D44" s="236"/>
      <c r="E44" s="231">
        <v>75</v>
      </c>
      <c r="F44" s="54">
        <f t="shared" si="3"/>
        <v>496</v>
      </c>
      <c r="G44" s="223"/>
      <c r="H44" s="227"/>
      <c r="I44" s="62">
        <f t="shared" si="0"/>
        <v>0</v>
      </c>
      <c r="J44" s="264"/>
      <c r="K44" s="246"/>
      <c r="L44" s="67">
        <f t="shared" si="4"/>
        <v>187216</v>
      </c>
    </row>
    <row r="45" spans="1:12" x14ac:dyDescent="0.3">
      <c r="A45" s="32">
        <v>46147</v>
      </c>
      <c r="B45" s="230" t="s">
        <v>31</v>
      </c>
      <c r="C45" s="239"/>
      <c r="D45" s="236"/>
      <c r="E45" s="231">
        <v>10</v>
      </c>
      <c r="F45" s="54">
        <f t="shared" si="3"/>
        <v>486</v>
      </c>
      <c r="G45" s="223"/>
      <c r="H45" s="227"/>
      <c r="I45" s="62">
        <f t="shared" si="0"/>
        <v>0</v>
      </c>
      <c r="J45" s="229"/>
      <c r="K45" s="246"/>
      <c r="L45" s="67">
        <f t="shared" si="4"/>
        <v>187216</v>
      </c>
    </row>
    <row r="46" spans="1:12" x14ac:dyDescent="0.3">
      <c r="A46" s="32">
        <v>46148</v>
      </c>
      <c r="B46" s="230" t="s">
        <v>799</v>
      </c>
      <c r="C46" s="244"/>
      <c r="D46" s="236"/>
      <c r="E46" s="231"/>
      <c r="F46" s="54">
        <f>+F45+C46+D46-E46</f>
        <v>486</v>
      </c>
      <c r="G46" s="240"/>
      <c r="H46" s="226">
        <v>0</v>
      </c>
      <c r="I46" s="62">
        <f t="shared" si="0"/>
        <v>0</v>
      </c>
      <c r="J46" s="247"/>
      <c r="K46" s="246">
        <v>4000</v>
      </c>
      <c r="L46" s="67">
        <f>+L45+J46-K46</f>
        <v>183216</v>
      </c>
    </row>
    <row r="47" spans="1:12" x14ac:dyDescent="0.3">
      <c r="A47" s="32">
        <v>46148</v>
      </c>
      <c r="B47" s="230" t="s">
        <v>800</v>
      </c>
      <c r="C47" s="244"/>
      <c r="D47" s="236"/>
      <c r="E47" s="231">
        <v>300</v>
      </c>
      <c r="F47" s="54">
        <f t="shared" ref="F47:F51" si="5">+F46+C47+D47-E47</f>
        <v>186</v>
      </c>
      <c r="G47" s="241"/>
      <c r="H47" s="226"/>
      <c r="I47" s="62">
        <f t="shared" si="0"/>
        <v>0</v>
      </c>
      <c r="J47" s="289"/>
      <c r="K47" s="246"/>
      <c r="L47" s="67">
        <f t="shared" ref="L47:L51" si="6">+L46+J47-K47</f>
        <v>183216</v>
      </c>
    </row>
    <row r="48" spans="1:12" x14ac:dyDescent="0.3">
      <c r="A48" s="32">
        <v>46148</v>
      </c>
      <c r="B48" s="230" t="s">
        <v>801</v>
      </c>
      <c r="C48" s="244"/>
      <c r="D48" s="237"/>
      <c r="E48" s="231">
        <v>45</v>
      </c>
      <c r="F48" s="54">
        <f t="shared" si="5"/>
        <v>141</v>
      </c>
      <c r="G48" s="241"/>
      <c r="H48" s="226"/>
      <c r="I48" s="62">
        <f t="shared" si="0"/>
        <v>0</v>
      </c>
      <c r="J48" s="130"/>
      <c r="K48" s="246"/>
      <c r="L48" s="67">
        <f t="shared" si="6"/>
        <v>183216</v>
      </c>
    </row>
    <row r="49" spans="1:12" x14ac:dyDescent="0.3">
      <c r="A49" s="32">
        <v>46148</v>
      </c>
      <c r="B49" s="230" t="s">
        <v>802</v>
      </c>
      <c r="C49" s="244"/>
      <c r="D49" s="237"/>
      <c r="E49" s="231">
        <v>20</v>
      </c>
      <c r="F49" s="54">
        <f t="shared" si="5"/>
        <v>121</v>
      </c>
      <c r="G49" s="241"/>
      <c r="H49" s="280"/>
      <c r="I49" s="62">
        <f t="shared" si="0"/>
        <v>0</v>
      </c>
      <c r="J49" s="37"/>
      <c r="K49" s="246"/>
      <c r="L49" s="67">
        <f t="shared" si="6"/>
        <v>183216</v>
      </c>
    </row>
    <row r="50" spans="1:12" x14ac:dyDescent="0.3">
      <c r="A50" s="32">
        <v>46148</v>
      </c>
      <c r="B50" s="230" t="s">
        <v>17</v>
      </c>
      <c r="C50" s="244"/>
      <c r="D50" s="237"/>
      <c r="E50" s="231">
        <v>60</v>
      </c>
      <c r="F50" s="54">
        <f t="shared" si="5"/>
        <v>61</v>
      </c>
      <c r="G50" s="240"/>
      <c r="H50" s="226"/>
      <c r="I50" s="62">
        <f t="shared" si="0"/>
        <v>0</v>
      </c>
      <c r="J50" s="37"/>
      <c r="K50" s="246"/>
      <c r="L50" s="67">
        <f t="shared" si="6"/>
        <v>183216</v>
      </c>
    </row>
    <row r="51" spans="1:12" x14ac:dyDescent="0.3">
      <c r="A51" s="32">
        <v>46148</v>
      </c>
      <c r="B51" s="230" t="s">
        <v>55</v>
      </c>
      <c r="C51" s="244"/>
      <c r="D51" s="236"/>
      <c r="E51" s="231"/>
      <c r="F51" s="54">
        <f t="shared" si="5"/>
        <v>61</v>
      </c>
      <c r="G51" s="240"/>
      <c r="H51" s="226"/>
      <c r="I51" s="62">
        <f t="shared" si="0"/>
        <v>0</v>
      </c>
      <c r="J51" s="229"/>
      <c r="K51" s="246">
        <v>20000</v>
      </c>
      <c r="L51" s="67">
        <f t="shared" si="6"/>
        <v>163216</v>
      </c>
    </row>
    <row r="52" spans="1:12" x14ac:dyDescent="0.3">
      <c r="A52" s="32">
        <v>46149</v>
      </c>
      <c r="B52" s="234" t="s">
        <v>54</v>
      </c>
      <c r="C52" s="244"/>
      <c r="D52" s="236">
        <v>2000</v>
      </c>
      <c r="E52" s="231"/>
      <c r="F52" s="54">
        <f>+F51+C52+D52-E52</f>
        <v>2061</v>
      </c>
      <c r="G52" s="240"/>
      <c r="H52" s="226">
        <v>0</v>
      </c>
      <c r="I52" s="62">
        <f t="shared" si="0"/>
        <v>0</v>
      </c>
      <c r="J52" s="247"/>
      <c r="K52" s="246"/>
      <c r="L52" s="67">
        <f>+L51+J52-K52</f>
        <v>163216</v>
      </c>
    </row>
    <row r="53" spans="1:12" x14ac:dyDescent="0.3">
      <c r="A53" s="32">
        <v>46149</v>
      </c>
      <c r="B53" s="230" t="s">
        <v>803</v>
      </c>
      <c r="C53" s="244"/>
      <c r="D53" s="236"/>
      <c r="E53" s="231">
        <v>250</v>
      </c>
      <c r="F53" s="54">
        <f t="shared" ref="F53:F69" si="7">+F52+C53+D53-E53</f>
        <v>1811</v>
      </c>
      <c r="G53" s="241"/>
      <c r="H53" s="226"/>
      <c r="I53" s="62">
        <f t="shared" si="0"/>
        <v>0</v>
      </c>
      <c r="J53" s="289"/>
      <c r="K53" s="246"/>
      <c r="L53" s="67">
        <f t="shared" ref="L53:L69" si="8">+L52+J53-K53</f>
        <v>163216</v>
      </c>
    </row>
    <row r="54" spans="1:12" x14ac:dyDescent="0.3">
      <c r="A54" s="32">
        <v>46149</v>
      </c>
      <c r="B54" s="230" t="s">
        <v>416</v>
      </c>
      <c r="C54" s="244"/>
      <c r="D54" s="237"/>
      <c r="E54" s="231">
        <v>300</v>
      </c>
      <c r="F54" s="54">
        <f t="shared" si="7"/>
        <v>1511</v>
      </c>
      <c r="G54" s="241"/>
      <c r="H54" s="226"/>
      <c r="I54" s="62">
        <f t="shared" si="0"/>
        <v>0</v>
      </c>
      <c r="J54" s="130"/>
      <c r="K54" s="246"/>
      <c r="L54" s="67">
        <f t="shared" si="8"/>
        <v>163216</v>
      </c>
    </row>
    <row r="55" spans="1:12" x14ac:dyDescent="0.3">
      <c r="A55" s="32">
        <v>46149</v>
      </c>
      <c r="B55" s="230" t="s">
        <v>804</v>
      </c>
      <c r="C55" s="244"/>
      <c r="D55" s="237"/>
      <c r="E55" s="231">
        <v>56</v>
      </c>
      <c r="F55" s="54">
        <f t="shared" si="7"/>
        <v>1455</v>
      </c>
      <c r="G55" s="241"/>
      <c r="H55" s="280"/>
      <c r="I55" s="62">
        <f t="shared" si="0"/>
        <v>0</v>
      </c>
      <c r="J55" s="37"/>
      <c r="K55" s="246"/>
      <c r="L55" s="67">
        <f t="shared" si="8"/>
        <v>163216</v>
      </c>
    </row>
    <row r="56" spans="1:12" x14ac:dyDescent="0.3">
      <c r="A56" s="32">
        <v>46149</v>
      </c>
      <c r="B56" s="230" t="s">
        <v>805</v>
      </c>
      <c r="C56" s="244"/>
      <c r="D56" s="237"/>
      <c r="E56" s="231">
        <v>395</v>
      </c>
      <c r="F56" s="54">
        <f t="shared" si="7"/>
        <v>1060</v>
      </c>
      <c r="G56" s="240"/>
      <c r="H56" s="226"/>
      <c r="I56" s="62">
        <f t="shared" si="0"/>
        <v>0</v>
      </c>
      <c r="J56" s="37"/>
      <c r="K56" s="246"/>
      <c r="L56" s="67">
        <f t="shared" si="8"/>
        <v>163216</v>
      </c>
    </row>
    <row r="57" spans="1:12" x14ac:dyDescent="0.3">
      <c r="A57" s="32">
        <v>46149</v>
      </c>
      <c r="B57" s="222" t="s">
        <v>806</v>
      </c>
      <c r="C57" s="244"/>
      <c r="D57" s="237">
        <v>1500</v>
      </c>
      <c r="E57" s="231"/>
      <c r="F57" s="54">
        <f t="shared" si="7"/>
        <v>2560</v>
      </c>
      <c r="G57" s="240"/>
      <c r="H57" s="226"/>
      <c r="I57" s="62">
        <f t="shared" si="0"/>
        <v>0</v>
      </c>
      <c r="J57" s="229"/>
      <c r="K57" s="246"/>
      <c r="L57" s="67">
        <f t="shared" si="8"/>
        <v>163216</v>
      </c>
    </row>
    <row r="58" spans="1:12" x14ac:dyDescent="0.3">
      <c r="A58" s="32">
        <v>46149</v>
      </c>
      <c r="B58" s="232" t="s">
        <v>807</v>
      </c>
      <c r="C58" s="244"/>
      <c r="D58" s="236"/>
      <c r="E58" s="83">
        <v>500</v>
      </c>
      <c r="F58" s="54">
        <f t="shared" si="7"/>
        <v>2060</v>
      </c>
      <c r="G58" s="240"/>
      <c r="H58" s="228"/>
      <c r="I58" s="62">
        <f t="shared" si="0"/>
        <v>0</v>
      </c>
      <c r="J58" s="266"/>
      <c r="K58" s="246"/>
      <c r="L58" s="67">
        <f t="shared" si="8"/>
        <v>163216</v>
      </c>
    </row>
    <row r="59" spans="1:12" x14ac:dyDescent="0.3">
      <c r="A59" s="32">
        <v>46149</v>
      </c>
      <c r="B59" s="232" t="s">
        <v>808</v>
      </c>
      <c r="C59" s="245"/>
      <c r="D59" s="236"/>
      <c r="E59" s="83">
        <v>500</v>
      </c>
      <c r="F59" s="54">
        <f t="shared" si="7"/>
        <v>1560</v>
      </c>
      <c r="G59" s="241"/>
      <c r="H59" s="226"/>
      <c r="I59" s="62">
        <f t="shared" si="0"/>
        <v>0</v>
      </c>
      <c r="J59" s="130"/>
      <c r="K59" s="246"/>
      <c r="L59" s="67">
        <f t="shared" si="8"/>
        <v>163216</v>
      </c>
    </row>
    <row r="60" spans="1:12" x14ac:dyDescent="0.3">
      <c r="A60" s="32">
        <v>46149</v>
      </c>
      <c r="B60" s="232" t="s">
        <v>252</v>
      </c>
      <c r="C60" s="244"/>
      <c r="D60" s="236"/>
      <c r="E60" s="83">
        <v>500</v>
      </c>
      <c r="F60" s="54">
        <f t="shared" si="7"/>
        <v>1060</v>
      </c>
      <c r="G60" s="240"/>
      <c r="H60" s="226"/>
      <c r="I60" s="62">
        <f t="shared" si="0"/>
        <v>0</v>
      </c>
      <c r="J60" s="264"/>
      <c r="K60" s="246"/>
      <c r="L60" s="67">
        <f t="shared" si="8"/>
        <v>163216</v>
      </c>
    </row>
    <row r="61" spans="1:12" x14ac:dyDescent="0.3">
      <c r="A61" s="32">
        <v>46149</v>
      </c>
      <c r="B61" s="222" t="s">
        <v>51</v>
      </c>
      <c r="C61" s="244"/>
      <c r="D61" s="236"/>
      <c r="E61" s="231">
        <v>100</v>
      </c>
      <c r="F61" s="54">
        <f t="shared" si="7"/>
        <v>960</v>
      </c>
      <c r="G61" s="240"/>
      <c r="H61" s="226"/>
      <c r="I61" s="62">
        <f t="shared" si="0"/>
        <v>0</v>
      </c>
      <c r="J61" s="271">
        <v>225000</v>
      </c>
      <c r="K61" s="246"/>
      <c r="L61" s="67">
        <f t="shared" si="8"/>
        <v>388216</v>
      </c>
    </row>
    <row r="62" spans="1:12" x14ac:dyDescent="0.3">
      <c r="A62" s="32">
        <v>46149</v>
      </c>
      <c r="B62" s="230" t="s">
        <v>809</v>
      </c>
      <c r="C62" s="244"/>
      <c r="D62" s="236"/>
      <c r="E62" s="231"/>
      <c r="F62" s="54">
        <f t="shared" si="7"/>
        <v>960</v>
      </c>
      <c r="G62" s="240"/>
      <c r="H62" s="226"/>
      <c r="I62" s="62">
        <f t="shared" si="0"/>
        <v>0</v>
      </c>
      <c r="J62" s="248"/>
      <c r="K62" s="246">
        <v>17000</v>
      </c>
      <c r="L62" s="67">
        <f t="shared" si="8"/>
        <v>371216</v>
      </c>
    </row>
    <row r="63" spans="1:12" x14ac:dyDescent="0.3">
      <c r="A63" s="32">
        <v>46149</v>
      </c>
      <c r="B63" s="230" t="s">
        <v>185</v>
      </c>
      <c r="C63" s="244"/>
      <c r="D63" s="236"/>
      <c r="E63" s="231">
        <v>79</v>
      </c>
      <c r="F63" s="54">
        <f t="shared" si="7"/>
        <v>881</v>
      </c>
      <c r="G63" s="240"/>
      <c r="H63" s="226"/>
      <c r="I63" s="62">
        <f t="shared" si="0"/>
        <v>0</v>
      </c>
      <c r="J63" s="248"/>
      <c r="K63" s="246"/>
      <c r="L63" s="67">
        <f t="shared" si="8"/>
        <v>371216</v>
      </c>
    </row>
    <row r="64" spans="1:12" x14ac:dyDescent="0.3">
      <c r="A64" s="32">
        <v>46149</v>
      </c>
      <c r="B64" s="230" t="s">
        <v>810</v>
      </c>
      <c r="C64" s="244"/>
      <c r="D64" s="237"/>
      <c r="E64" s="231">
        <v>240</v>
      </c>
      <c r="F64" s="54">
        <f t="shared" si="7"/>
        <v>641</v>
      </c>
      <c r="G64" s="241"/>
      <c r="H64" s="226"/>
      <c r="I64" s="62">
        <f t="shared" si="0"/>
        <v>0</v>
      </c>
      <c r="J64" s="271"/>
      <c r="K64" s="246"/>
      <c r="L64" s="67">
        <f t="shared" si="8"/>
        <v>371216</v>
      </c>
    </row>
    <row r="65" spans="1:12" x14ac:dyDescent="0.3">
      <c r="A65" s="32">
        <v>46149</v>
      </c>
      <c r="B65" s="230" t="s">
        <v>811</v>
      </c>
      <c r="C65" s="244"/>
      <c r="D65" s="236"/>
      <c r="E65" s="231">
        <v>350</v>
      </c>
      <c r="F65" s="54">
        <f t="shared" si="7"/>
        <v>291</v>
      </c>
      <c r="G65" s="241"/>
      <c r="H65" s="226"/>
      <c r="I65" s="62">
        <f t="shared" si="0"/>
        <v>0</v>
      </c>
      <c r="J65" s="248"/>
      <c r="K65" s="246"/>
      <c r="L65" s="67">
        <f t="shared" si="8"/>
        <v>371216</v>
      </c>
    </row>
    <row r="66" spans="1:12" x14ac:dyDescent="0.3">
      <c r="A66" s="32">
        <v>46149</v>
      </c>
      <c r="B66" s="230" t="s">
        <v>812</v>
      </c>
      <c r="C66" s="244"/>
      <c r="D66" s="237"/>
      <c r="E66" s="231"/>
      <c r="F66" s="54">
        <f t="shared" si="7"/>
        <v>291</v>
      </c>
      <c r="G66" s="242"/>
      <c r="H66" s="227"/>
      <c r="I66" s="62">
        <f t="shared" si="0"/>
        <v>0</v>
      </c>
      <c r="J66" s="271"/>
      <c r="K66" s="246">
        <v>203000</v>
      </c>
      <c r="L66" s="67">
        <f t="shared" si="8"/>
        <v>168216</v>
      </c>
    </row>
    <row r="67" spans="1:12" x14ac:dyDescent="0.3">
      <c r="A67" s="32">
        <v>46149</v>
      </c>
      <c r="B67" s="230" t="s">
        <v>813</v>
      </c>
      <c r="C67" s="239"/>
      <c r="D67" s="237"/>
      <c r="E67" s="231"/>
      <c r="F67" s="54">
        <f t="shared" si="7"/>
        <v>291</v>
      </c>
      <c r="G67" s="243"/>
      <c r="H67" s="227"/>
      <c r="I67" s="62">
        <f t="shared" si="0"/>
        <v>0</v>
      </c>
      <c r="J67" s="233"/>
      <c r="K67" s="246">
        <v>10000</v>
      </c>
      <c r="L67" s="67">
        <f t="shared" si="8"/>
        <v>158216</v>
      </c>
    </row>
    <row r="68" spans="1:12" x14ac:dyDescent="0.3">
      <c r="A68" s="32">
        <v>46149</v>
      </c>
      <c r="B68" s="232" t="s">
        <v>814</v>
      </c>
      <c r="C68" s="244">
        <v>420</v>
      </c>
      <c r="D68" s="236"/>
      <c r="E68" s="231"/>
      <c r="F68" s="54">
        <f t="shared" si="7"/>
        <v>711</v>
      </c>
      <c r="G68" s="223"/>
      <c r="H68" s="221"/>
      <c r="I68" s="62">
        <f t="shared" si="0"/>
        <v>0</v>
      </c>
      <c r="J68" s="271"/>
      <c r="K68" s="246"/>
      <c r="L68" s="67">
        <f t="shared" si="8"/>
        <v>158216</v>
      </c>
    </row>
    <row r="69" spans="1:12" x14ac:dyDescent="0.3">
      <c r="A69" s="32">
        <v>46149</v>
      </c>
      <c r="B69" s="232" t="s">
        <v>815</v>
      </c>
      <c r="C69" s="244">
        <v>210</v>
      </c>
      <c r="D69" s="236"/>
      <c r="E69" s="231"/>
      <c r="F69" s="54">
        <f t="shared" si="7"/>
        <v>921</v>
      </c>
      <c r="G69" s="223"/>
      <c r="H69" s="227"/>
      <c r="I69" s="62">
        <f t="shared" si="0"/>
        <v>0</v>
      </c>
      <c r="J69" s="264">
        <v>1000</v>
      </c>
      <c r="K69" s="246"/>
      <c r="L69" s="67">
        <f t="shared" si="8"/>
        <v>159216</v>
      </c>
    </row>
    <row r="70" spans="1:12" x14ac:dyDescent="0.3">
      <c r="A70" s="32">
        <v>46150</v>
      </c>
      <c r="B70" s="222" t="s">
        <v>806</v>
      </c>
      <c r="C70" s="244"/>
      <c r="D70" s="237">
        <v>1500</v>
      </c>
      <c r="E70" s="231"/>
      <c r="F70" s="54">
        <f>+F69+C70+D70-E70</f>
        <v>2421</v>
      </c>
      <c r="G70" s="240"/>
      <c r="H70" s="226">
        <v>0</v>
      </c>
      <c r="I70" s="62">
        <f t="shared" ref="I70:I133" si="9">+I69+G70-H70</f>
        <v>0</v>
      </c>
      <c r="J70" s="247"/>
      <c r="K70" s="246"/>
      <c r="L70" s="67">
        <f>+L69+J70-K70</f>
        <v>159216</v>
      </c>
    </row>
    <row r="71" spans="1:12" x14ac:dyDescent="0.3">
      <c r="A71" s="32">
        <v>46150</v>
      </c>
      <c r="B71" s="230" t="s">
        <v>36</v>
      </c>
      <c r="C71" s="244"/>
      <c r="D71" s="236"/>
      <c r="E71" s="231">
        <v>50</v>
      </c>
      <c r="F71" s="54">
        <f t="shared" ref="F71:F82" si="10">+F70+C71+D71-E71</f>
        <v>2371</v>
      </c>
      <c r="G71" s="241"/>
      <c r="H71" s="226"/>
      <c r="I71" s="62">
        <f t="shared" si="9"/>
        <v>0</v>
      </c>
      <c r="J71" s="289"/>
      <c r="K71" s="246"/>
      <c r="L71" s="67">
        <f t="shared" ref="L71:L82" si="11">+L70+J71-K71</f>
        <v>159216</v>
      </c>
    </row>
    <row r="72" spans="1:12" x14ac:dyDescent="0.3">
      <c r="A72" s="32">
        <v>46150</v>
      </c>
      <c r="B72" s="222" t="s">
        <v>51</v>
      </c>
      <c r="C72" s="244"/>
      <c r="D72" s="237"/>
      <c r="E72" s="231">
        <v>50</v>
      </c>
      <c r="F72" s="54">
        <f t="shared" si="10"/>
        <v>2321</v>
      </c>
      <c r="G72" s="241"/>
      <c r="H72" s="226"/>
      <c r="I72" s="62">
        <f t="shared" si="9"/>
        <v>0</v>
      </c>
      <c r="J72" s="130">
        <v>112500</v>
      </c>
      <c r="K72" s="246"/>
      <c r="L72" s="67">
        <f t="shared" si="11"/>
        <v>271716</v>
      </c>
    </row>
    <row r="73" spans="1:12" x14ac:dyDescent="0.3">
      <c r="A73" s="32">
        <v>46150</v>
      </c>
      <c r="B73" s="230" t="s">
        <v>48</v>
      </c>
      <c r="C73" s="244"/>
      <c r="D73" s="237"/>
      <c r="E73" s="231">
        <v>70</v>
      </c>
      <c r="F73" s="54">
        <f t="shared" si="10"/>
        <v>2251</v>
      </c>
      <c r="G73" s="241"/>
      <c r="H73" s="280"/>
      <c r="I73" s="62">
        <f t="shared" si="9"/>
        <v>0</v>
      </c>
      <c r="J73" s="37"/>
      <c r="K73" s="246">
        <v>5000</v>
      </c>
      <c r="L73" s="67">
        <f t="shared" si="11"/>
        <v>266716</v>
      </c>
    </row>
    <row r="74" spans="1:12" x14ac:dyDescent="0.3">
      <c r="A74" s="32">
        <v>46150</v>
      </c>
      <c r="B74" s="232" t="s">
        <v>816</v>
      </c>
      <c r="C74" s="244"/>
      <c r="D74" s="237"/>
      <c r="E74" s="231">
        <v>500</v>
      </c>
      <c r="F74" s="54">
        <f t="shared" si="10"/>
        <v>1751</v>
      </c>
      <c r="G74" s="240"/>
      <c r="H74" s="226"/>
      <c r="I74" s="62">
        <f t="shared" si="9"/>
        <v>0</v>
      </c>
      <c r="J74" s="37"/>
      <c r="K74" s="246"/>
      <c r="L74" s="67">
        <f t="shared" si="11"/>
        <v>266716</v>
      </c>
    </row>
    <row r="75" spans="1:12" x14ac:dyDescent="0.3">
      <c r="A75" s="32">
        <v>46150</v>
      </c>
      <c r="B75" s="230" t="s">
        <v>27</v>
      </c>
      <c r="C75" s="244"/>
      <c r="D75" s="237"/>
      <c r="E75" s="231">
        <v>40</v>
      </c>
      <c r="F75" s="54">
        <f t="shared" si="10"/>
        <v>1711</v>
      </c>
      <c r="G75" s="240"/>
      <c r="H75" s="226"/>
      <c r="I75" s="62">
        <f t="shared" si="9"/>
        <v>0</v>
      </c>
      <c r="J75" s="229"/>
      <c r="K75" s="246"/>
      <c r="L75" s="67">
        <f t="shared" si="11"/>
        <v>266716</v>
      </c>
    </row>
    <row r="76" spans="1:12" x14ac:dyDescent="0.3">
      <c r="A76" s="32">
        <v>46150</v>
      </c>
      <c r="B76" s="230" t="s">
        <v>817</v>
      </c>
      <c r="C76" s="244"/>
      <c r="D76" s="236"/>
      <c r="E76" s="231">
        <v>95</v>
      </c>
      <c r="F76" s="54">
        <f t="shared" si="10"/>
        <v>1616</v>
      </c>
      <c r="G76" s="240"/>
      <c r="H76" s="228"/>
      <c r="I76" s="62">
        <f t="shared" si="9"/>
        <v>0</v>
      </c>
      <c r="J76" s="266"/>
      <c r="K76" s="246"/>
      <c r="L76" s="67">
        <f t="shared" si="11"/>
        <v>266716</v>
      </c>
    </row>
    <row r="77" spans="1:12" x14ac:dyDescent="0.3">
      <c r="A77" s="32">
        <v>46150</v>
      </c>
      <c r="B77" s="230" t="s">
        <v>818</v>
      </c>
      <c r="C77" s="245"/>
      <c r="D77" s="236"/>
      <c r="E77" s="231">
        <v>380</v>
      </c>
      <c r="F77" s="54">
        <f t="shared" si="10"/>
        <v>1236</v>
      </c>
      <c r="G77" s="241"/>
      <c r="H77" s="226"/>
      <c r="I77" s="62">
        <f t="shared" si="9"/>
        <v>0</v>
      </c>
      <c r="J77" s="130"/>
      <c r="K77" s="246"/>
      <c r="L77" s="67">
        <f t="shared" si="11"/>
        <v>266716</v>
      </c>
    </row>
    <row r="78" spans="1:12" x14ac:dyDescent="0.3">
      <c r="A78" s="32">
        <v>46150</v>
      </c>
      <c r="B78" s="230" t="s">
        <v>819</v>
      </c>
      <c r="C78" s="244"/>
      <c r="D78" s="236"/>
      <c r="E78" s="231">
        <v>350</v>
      </c>
      <c r="F78" s="54">
        <f t="shared" si="10"/>
        <v>886</v>
      </c>
      <c r="G78" s="240"/>
      <c r="H78" s="226"/>
      <c r="I78" s="62">
        <f t="shared" si="9"/>
        <v>0</v>
      </c>
      <c r="J78" s="264"/>
      <c r="K78" s="246"/>
      <c r="L78" s="67">
        <f t="shared" si="11"/>
        <v>266716</v>
      </c>
    </row>
    <row r="79" spans="1:12" x14ac:dyDescent="0.3">
      <c r="A79" s="32">
        <v>46150</v>
      </c>
      <c r="B79" s="230" t="s">
        <v>820</v>
      </c>
      <c r="C79" s="244"/>
      <c r="D79" s="236"/>
      <c r="E79" s="231">
        <v>230</v>
      </c>
      <c r="F79" s="54">
        <f t="shared" si="10"/>
        <v>656</v>
      </c>
      <c r="G79" s="240"/>
      <c r="H79" s="226"/>
      <c r="I79" s="62">
        <f t="shared" si="9"/>
        <v>0</v>
      </c>
      <c r="J79" s="271"/>
      <c r="K79" s="246"/>
      <c r="L79" s="67">
        <f t="shared" si="11"/>
        <v>266716</v>
      </c>
    </row>
    <row r="80" spans="1:12" x14ac:dyDescent="0.3">
      <c r="A80" s="32">
        <v>46150</v>
      </c>
      <c r="B80" s="230" t="s">
        <v>821</v>
      </c>
      <c r="C80" s="244"/>
      <c r="D80" s="236"/>
      <c r="E80" s="231">
        <v>240</v>
      </c>
      <c r="F80" s="54">
        <f t="shared" si="10"/>
        <v>416</v>
      </c>
      <c r="G80" s="240"/>
      <c r="H80" s="226"/>
      <c r="I80" s="62">
        <f t="shared" si="9"/>
        <v>0</v>
      </c>
      <c r="J80" s="248"/>
      <c r="K80" s="246"/>
      <c r="L80" s="67">
        <f t="shared" si="11"/>
        <v>266716</v>
      </c>
    </row>
    <row r="81" spans="1:12" x14ac:dyDescent="0.3">
      <c r="A81" s="32">
        <v>46150</v>
      </c>
      <c r="B81" s="230" t="s">
        <v>822</v>
      </c>
      <c r="C81" s="244"/>
      <c r="D81" s="236"/>
      <c r="E81" s="231">
        <v>291</v>
      </c>
      <c r="F81" s="54">
        <f t="shared" si="10"/>
        <v>125</v>
      </c>
      <c r="G81" s="240"/>
      <c r="H81" s="226"/>
      <c r="I81" s="62">
        <f t="shared" si="9"/>
        <v>0</v>
      </c>
      <c r="J81" s="248"/>
      <c r="K81" s="246"/>
      <c r="L81" s="67">
        <f t="shared" si="11"/>
        <v>266716</v>
      </c>
    </row>
    <row r="82" spans="1:12" x14ac:dyDescent="0.3">
      <c r="A82" s="32">
        <v>46150</v>
      </c>
      <c r="B82" s="230" t="s">
        <v>52</v>
      </c>
      <c r="C82" s="244"/>
      <c r="D82" s="237"/>
      <c r="E82" s="231"/>
      <c r="F82" s="54">
        <f t="shared" si="10"/>
        <v>125</v>
      </c>
      <c r="G82" s="241"/>
      <c r="H82" s="226"/>
      <c r="I82" s="62">
        <f t="shared" si="9"/>
        <v>0</v>
      </c>
      <c r="J82" s="271"/>
      <c r="K82" s="246">
        <v>10000</v>
      </c>
      <c r="L82" s="67">
        <f t="shared" si="11"/>
        <v>256716</v>
      </c>
    </row>
    <row r="83" spans="1:12" x14ac:dyDescent="0.3">
      <c r="A83" s="32">
        <v>46151</v>
      </c>
      <c r="B83" s="232" t="s">
        <v>823</v>
      </c>
      <c r="C83" s="244">
        <v>146</v>
      </c>
      <c r="D83" s="237"/>
      <c r="E83" s="231"/>
      <c r="F83" s="54">
        <f>+F82+C83+D83-E83</f>
        <v>271</v>
      </c>
      <c r="G83" s="240"/>
      <c r="H83" s="226">
        <v>0</v>
      </c>
      <c r="I83" s="62">
        <f t="shared" si="9"/>
        <v>0</v>
      </c>
      <c r="J83" s="272">
        <v>400</v>
      </c>
      <c r="K83" s="246"/>
      <c r="L83" s="67">
        <f>+L82+J83-K83</f>
        <v>257116</v>
      </c>
    </row>
    <row r="84" spans="1:12" x14ac:dyDescent="0.3">
      <c r="A84" s="32">
        <v>46151</v>
      </c>
      <c r="B84" s="232" t="s">
        <v>824</v>
      </c>
      <c r="C84" s="244">
        <v>174</v>
      </c>
      <c r="D84" s="236"/>
      <c r="E84" s="231"/>
      <c r="F84" s="54">
        <f t="shared" ref="F84" si="12">+F83+C84+D84-E84</f>
        <v>445</v>
      </c>
      <c r="G84" s="241"/>
      <c r="H84" s="226"/>
      <c r="I84" s="62">
        <f t="shared" si="9"/>
        <v>0</v>
      </c>
      <c r="J84" s="295">
        <v>10000</v>
      </c>
      <c r="K84" s="246"/>
      <c r="L84" s="67">
        <f t="shared" ref="L84" si="13">+L83+J84-K84</f>
        <v>267116</v>
      </c>
    </row>
    <row r="85" spans="1:12" x14ac:dyDescent="0.3">
      <c r="A85" s="32">
        <v>46153</v>
      </c>
      <c r="B85" s="230" t="s">
        <v>20</v>
      </c>
      <c r="C85" s="244"/>
      <c r="D85" s="237"/>
      <c r="E85" s="231">
        <v>100</v>
      </c>
      <c r="F85" s="54">
        <f>+F84+C85+D85-E85</f>
        <v>345</v>
      </c>
      <c r="G85" s="240"/>
      <c r="H85" s="226">
        <v>0</v>
      </c>
      <c r="I85" s="62">
        <f t="shared" si="9"/>
        <v>0</v>
      </c>
      <c r="J85" s="272"/>
      <c r="K85" s="246"/>
      <c r="L85" s="67">
        <f>+L84+J85-K85</f>
        <v>267116</v>
      </c>
    </row>
    <row r="86" spans="1:12" x14ac:dyDescent="0.3">
      <c r="A86" s="32">
        <v>46153</v>
      </c>
      <c r="B86" s="230" t="s">
        <v>234</v>
      </c>
      <c r="C86" s="244"/>
      <c r="D86" s="236"/>
      <c r="E86" s="231">
        <v>50</v>
      </c>
      <c r="F86" s="54">
        <f t="shared" ref="F86:F100" si="14">+F85+C86+D86-E86</f>
        <v>295</v>
      </c>
      <c r="G86" s="241"/>
      <c r="H86" s="226"/>
      <c r="I86" s="62">
        <f t="shared" si="9"/>
        <v>0</v>
      </c>
      <c r="J86" s="295"/>
      <c r="K86" s="246"/>
      <c r="L86" s="67">
        <f t="shared" ref="L86:L100" si="15">+L85+J86-K86</f>
        <v>267116</v>
      </c>
    </row>
    <row r="87" spans="1:12" x14ac:dyDescent="0.3">
      <c r="A87" s="32">
        <v>46153</v>
      </c>
      <c r="B87" s="230" t="s">
        <v>825</v>
      </c>
      <c r="C87" s="244"/>
      <c r="D87" s="237"/>
      <c r="E87" s="231">
        <v>70</v>
      </c>
      <c r="F87" s="54">
        <f t="shared" si="14"/>
        <v>225</v>
      </c>
      <c r="G87" s="241"/>
      <c r="H87" s="226"/>
      <c r="I87" s="62">
        <f t="shared" si="9"/>
        <v>0</v>
      </c>
      <c r="J87" s="130"/>
      <c r="K87" s="246"/>
      <c r="L87" s="67">
        <f t="shared" si="15"/>
        <v>267116</v>
      </c>
    </row>
    <row r="88" spans="1:12" x14ac:dyDescent="0.3">
      <c r="A88" s="32">
        <v>46153</v>
      </c>
      <c r="B88" s="230" t="s">
        <v>413</v>
      </c>
      <c r="C88" s="244"/>
      <c r="D88" s="237"/>
      <c r="E88" s="231">
        <v>10</v>
      </c>
      <c r="F88" s="54">
        <f t="shared" si="14"/>
        <v>215</v>
      </c>
      <c r="G88" s="241"/>
      <c r="H88" s="280"/>
      <c r="I88" s="62">
        <f t="shared" si="9"/>
        <v>0</v>
      </c>
      <c r="J88" s="37"/>
      <c r="K88" s="246"/>
      <c r="L88" s="67">
        <f t="shared" si="15"/>
        <v>267116</v>
      </c>
    </row>
    <row r="89" spans="1:12" x14ac:dyDescent="0.3">
      <c r="A89" s="32">
        <v>46153</v>
      </c>
      <c r="B89" s="230" t="s">
        <v>826</v>
      </c>
      <c r="C89" s="244"/>
      <c r="D89" s="237"/>
      <c r="E89" s="231"/>
      <c r="F89" s="54">
        <f t="shared" si="14"/>
        <v>215</v>
      </c>
      <c r="G89" s="240"/>
      <c r="H89" s="226"/>
      <c r="I89" s="62">
        <f t="shared" si="9"/>
        <v>0</v>
      </c>
      <c r="J89" s="37"/>
      <c r="K89" s="246">
        <v>10000</v>
      </c>
      <c r="L89" s="67">
        <f t="shared" si="15"/>
        <v>257116</v>
      </c>
    </row>
    <row r="90" spans="1:12" x14ac:dyDescent="0.3">
      <c r="A90" s="32">
        <v>46153</v>
      </c>
      <c r="B90" s="234" t="s">
        <v>16</v>
      </c>
      <c r="C90" s="244"/>
      <c r="D90" s="236">
        <v>5000</v>
      </c>
      <c r="E90" s="231"/>
      <c r="F90" s="54">
        <f t="shared" si="14"/>
        <v>5215</v>
      </c>
      <c r="G90" s="240"/>
      <c r="H90" s="226"/>
      <c r="I90" s="62">
        <f t="shared" si="9"/>
        <v>0</v>
      </c>
      <c r="J90" s="229"/>
      <c r="K90" s="246"/>
      <c r="L90" s="67">
        <f t="shared" si="15"/>
        <v>257116</v>
      </c>
    </row>
    <row r="91" spans="1:12" x14ac:dyDescent="0.3">
      <c r="A91" s="32">
        <v>46153</v>
      </c>
      <c r="B91" s="222" t="s">
        <v>23</v>
      </c>
      <c r="C91" s="244"/>
      <c r="D91" s="236"/>
      <c r="E91" s="231">
        <v>4700</v>
      </c>
      <c r="F91" s="54">
        <f t="shared" si="14"/>
        <v>515</v>
      </c>
      <c r="G91" s="240"/>
      <c r="H91" s="228"/>
      <c r="I91" s="62">
        <f t="shared" si="9"/>
        <v>0</v>
      </c>
      <c r="J91" s="266">
        <v>10716000</v>
      </c>
      <c r="K91" s="246"/>
      <c r="L91" s="67">
        <f t="shared" si="15"/>
        <v>10973116</v>
      </c>
    </row>
    <row r="92" spans="1:12" x14ac:dyDescent="0.3">
      <c r="A92" s="32">
        <v>46153</v>
      </c>
      <c r="B92" s="230" t="s">
        <v>827</v>
      </c>
      <c r="C92" s="245"/>
      <c r="D92" s="236"/>
      <c r="E92" s="231"/>
      <c r="F92" s="54">
        <f t="shared" si="14"/>
        <v>515</v>
      </c>
      <c r="G92" s="241"/>
      <c r="H92" s="226"/>
      <c r="I92" s="62">
        <f t="shared" si="9"/>
        <v>0</v>
      </c>
      <c r="J92" s="130"/>
      <c r="K92" s="246">
        <v>2720000</v>
      </c>
      <c r="L92" s="67">
        <f t="shared" si="15"/>
        <v>8253116</v>
      </c>
    </row>
    <row r="93" spans="1:12" x14ac:dyDescent="0.3">
      <c r="A93" s="32">
        <v>46153</v>
      </c>
      <c r="B93" s="230" t="s">
        <v>828</v>
      </c>
      <c r="C93" s="244"/>
      <c r="D93" s="236"/>
      <c r="E93" s="231"/>
      <c r="F93" s="54">
        <f t="shared" si="14"/>
        <v>515</v>
      </c>
      <c r="G93" s="240"/>
      <c r="H93" s="226"/>
      <c r="I93" s="62">
        <f t="shared" si="9"/>
        <v>0</v>
      </c>
      <c r="J93" s="264"/>
      <c r="K93" s="246">
        <v>2440000</v>
      </c>
      <c r="L93" s="67">
        <f t="shared" si="15"/>
        <v>5813116</v>
      </c>
    </row>
    <row r="94" spans="1:12" x14ac:dyDescent="0.3">
      <c r="A94" s="32">
        <v>46153</v>
      </c>
      <c r="B94" s="230" t="s">
        <v>829</v>
      </c>
      <c r="C94" s="244"/>
      <c r="D94" s="236"/>
      <c r="E94" s="231"/>
      <c r="F94" s="54">
        <f t="shared" si="14"/>
        <v>515</v>
      </c>
      <c r="G94" s="240"/>
      <c r="H94" s="226"/>
      <c r="I94" s="62">
        <f t="shared" si="9"/>
        <v>0</v>
      </c>
      <c r="J94" s="271"/>
      <c r="K94" s="246">
        <v>5015000</v>
      </c>
      <c r="L94" s="67">
        <f t="shared" si="15"/>
        <v>798116</v>
      </c>
    </row>
    <row r="95" spans="1:12" x14ac:dyDescent="0.3">
      <c r="A95" s="32">
        <v>46153</v>
      </c>
      <c r="B95" s="230" t="s">
        <v>830</v>
      </c>
      <c r="C95" s="244"/>
      <c r="D95" s="236"/>
      <c r="E95" s="231">
        <v>302</v>
      </c>
      <c r="F95" s="54">
        <f t="shared" si="14"/>
        <v>213</v>
      </c>
      <c r="G95" s="240"/>
      <c r="H95" s="226"/>
      <c r="I95" s="62">
        <f t="shared" si="9"/>
        <v>0</v>
      </c>
      <c r="J95" s="248"/>
      <c r="K95" s="246"/>
      <c r="L95" s="67">
        <f t="shared" si="15"/>
        <v>798116</v>
      </c>
    </row>
    <row r="96" spans="1:12" x14ac:dyDescent="0.3">
      <c r="A96" s="32">
        <v>46153</v>
      </c>
      <c r="B96" s="230" t="s">
        <v>45</v>
      </c>
      <c r="C96" s="244"/>
      <c r="D96" s="236"/>
      <c r="E96" s="231">
        <v>80</v>
      </c>
      <c r="F96" s="54">
        <f t="shared" si="14"/>
        <v>133</v>
      </c>
      <c r="G96" s="240"/>
      <c r="H96" s="226"/>
      <c r="I96" s="62">
        <f t="shared" si="9"/>
        <v>0</v>
      </c>
      <c r="J96" s="248"/>
      <c r="K96" s="246"/>
      <c r="L96" s="67">
        <f t="shared" si="15"/>
        <v>798116</v>
      </c>
    </row>
    <row r="97" spans="1:12" x14ac:dyDescent="0.3">
      <c r="A97" s="32">
        <v>46153</v>
      </c>
      <c r="B97" s="230" t="s">
        <v>25</v>
      </c>
      <c r="C97" s="244"/>
      <c r="D97" s="237"/>
      <c r="E97" s="231">
        <v>20</v>
      </c>
      <c r="F97" s="54">
        <f t="shared" si="14"/>
        <v>113</v>
      </c>
      <c r="G97" s="241"/>
      <c r="H97" s="226"/>
      <c r="I97" s="62">
        <f t="shared" si="9"/>
        <v>0</v>
      </c>
      <c r="J97" s="271"/>
      <c r="K97" s="246"/>
      <c r="L97" s="67">
        <f t="shared" si="15"/>
        <v>798116</v>
      </c>
    </row>
    <row r="98" spans="1:12" x14ac:dyDescent="0.3">
      <c r="A98" s="32">
        <v>46153</v>
      </c>
      <c r="B98" s="230" t="s">
        <v>831</v>
      </c>
      <c r="C98" s="244"/>
      <c r="D98" s="236"/>
      <c r="E98" s="231">
        <v>40</v>
      </c>
      <c r="F98" s="54">
        <f t="shared" si="14"/>
        <v>73</v>
      </c>
      <c r="G98" s="241"/>
      <c r="H98" s="226"/>
      <c r="I98" s="62">
        <f t="shared" si="9"/>
        <v>0</v>
      </c>
      <c r="J98" s="248"/>
      <c r="K98" s="246"/>
      <c r="L98" s="67">
        <f t="shared" si="15"/>
        <v>798116</v>
      </c>
    </row>
    <row r="99" spans="1:12" x14ac:dyDescent="0.3">
      <c r="A99" s="32">
        <v>46153</v>
      </c>
      <c r="B99" s="230" t="s">
        <v>832</v>
      </c>
      <c r="C99" s="244"/>
      <c r="D99" s="237"/>
      <c r="E99" s="231"/>
      <c r="F99" s="54">
        <f t="shared" si="14"/>
        <v>73</v>
      </c>
      <c r="G99" s="242"/>
      <c r="H99" s="227"/>
      <c r="I99" s="62">
        <f t="shared" si="9"/>
        <v>0</v>
      </c>
      <c r="J99" s="271"/>
      <c r="K99" s="246">
        <v>640000</v>
      </c>
      <c r="L99" s="67">
        <f t="shared" si="15"/>
        <v>158116</v>
      </c>
    </row>
    <row r="100" spans="1:12" x14ac:dyDescent="0.3">
      <c r="A100" s="32">
        <v>46153</v>
      </c>
      <c r="B100" s="232" t="s">
        <v>833</v>
      </c>
      <c r="C100" s="239">
        <v>243</v>
      </c>
      <c r="D100" s="237"/>
      <c r="E100" s="231"/>
      <c r="F100" s="54">
        <f t="shared" si="14"/>
        <v>316</v>
      </c>
      <c r="G100" s="243"/>
      <c r="H100" s="227"/>
      <c r="I100" s="62">
        <f t="shared" si="9"/>
        <v>0</v>
      </c>
      <c r="J100" s="233"/>
      <c r="K100" s="246"/>
      <c r="L100" s="67">
        <f t="shared" si="15"/>
        <v>158116</v>
      </c>
    </row>
    <row r="101" spans="1:12" x14ac:dyDescent="0.3">
      <c r="A101" s="32">
        <v>46154</v>
      </c>
      <c r="B101" s="230" t="s">
        <v>834</v>
      </c>
      <c r="C101" s="244"/>
      <c r="D101" s="237"/>
      <c r="E101" s="231">
        <v>80</v>
      </c>
      <c r="F101" s="54">
        <f>+F100+C101+D101-E101</f>
        <v>236</v>
      </c>
      <c r="G101" s="240"/>
      <c r="H101" s="226">
        <v>0</v>
      </c>
      <c r="I101" s="62">
        <f t="shared" si="9"/>
        <v>0</v>
      </c>
      <c r="J101" s="272"/>
      <c r="K101" s="246"/>
      <c r="L101" s="67">
        <f>+L100+J101-K101</f>
        <v>158116</v>
      </c>
    </row>
    <row r="102" spans="1:12" x14ac:dyDescent="0.3">
      <c r="A102" s="32">
        <v>46154</v>
      </c>
      <c r="B102" s="230" t="s">
        <v>835</v>
      </c>
      <c r="C102" s="244"/>
      <c r="D102" s="236"/>
      <c r="E102" s="231">
        <v>20</v>
      </c>
      <c r="F102" s="54">
        <f t="shared" ref="F102:F112" si="16">+F101+C102+D102-E102</f>
        <v>216</v>
      </c>
      <c r="G102" s="241"/>
      <c r="H102" s="226"/>
      <c r="I102" s="62">
        <f t="shared" si="9"/>
        <v>0</v>
      </c>
      <c r="J102" s="295"/>
      <c r="K102" s="246"/>
      <c r="L102" s="67">
        <f t="shared" ref="L102:L112" si="17">+L101+J102-K102</f>
        <v>158116</v>
      </c>
    </row>
    <row r="103" spans="1:12" x14ac:dyDescent="0.3">
      <c r="A103" s="32">
        <v>46154</v>
      </c>
      <c r="B103" s="230" t="s">
        <v>28</v>
      </c>
      <c r="C103" s="244"/>
      <c r="D103" s="237"/>
      <c r="E103" s="231">
        <v>50</v>
      </c>
      <c r="F103" s="54">
        <f t="shared" si="16"/>
        <v>166</v>
      </c>
      <c r="G103" s="241"/>
      <c r="H103" s="226"/>
      <c r="I103" s="62">
        <f t="shared" si="9"/>
        <v>0</v>
      </c>
      <c r="J103" s="130"/>
      <c r="K103" s="246"/>
      <c r="L103" s="67">
        <f t="shared" si="17"/>
        <v>158116</v>
      </c>
    </row>
    <row r="104" spans="1:12" x14ac:dyDescent="0.3">
      <c r="A104" s="32">
        <v>46154</v>
      </c>
      <c r="B104" s="234" t="s">
        <v>16</v>
      </c>
      <c r="C104" s="244"/>
      <c r="D104" s="236">
        <v>2000</v>
      </c>
      <c r="E104" s="231"/>
      <c r="F104" s="54">
        <f t="shared" si="16"/>
        <v>2166</v>
      </c>
      <c r="G104" s="241"/>
      <c r="H104" s="280"/>
      <c r="I104" s="62">
        <f t="shared" si="9"/>
        <v>0</v>
      </c>
      <c r="J104" s="37"/>
      <c r="K104" s="246"/>
      <c r="L104" s="67">
        <f t="shared" si="17"/>
        <v>158116</v>
      </c>
    </row>
    <row r="105" spans="1:12" x14ac:dyDescent="0.3">
      <c r="A105" s="32">
        <v>46154</v>
      </c>
      <c r="B105" s="222" t="s">
        <v>23</v>
      </c>
      <c r="C105" s="244"/>
      <c r="D105" s="237"/>
      <c r="E105" s="231">
        <v>1800</v>
      </c>
      <c r="F105" s="54">
        <f t="shared" si="16"/>
        <v>366</v>
      </c>
      <c r="G105" s="240"/>
      <c r="H105" s="226"/>
      <c r="I105" s="62">
        <f t="shared" si="9"/>
        <v>0</v>
      </c>
      <c r="J105" s="37">
        <v>4104000</v>
      </c>
      <c r="K105" s="246"/>
      <c r="L105" s="67">
        <f t="shared" si="17"/>
        <v>4262116</v>
      </c>
    </row>
    <row r="106" spans="1:12" x14ac:dyDescent="0.3">
      <c r="A106" s="32">
        <v>46154</v>
      </c>
      <c r="B106" s="230" t="s">
        <v>836</v>
      </c>
      <c r="C106" s="244"/>
      <c r="D106" s="236"/>
      <c r="E106" s="231"/>
      <c r="F106" s="54">
        <f t="shared" si="16"/>
        <v>366</v>
      </c>
      <c r="G106" s="240"/>
      <c r="H106" s="226"/>
      <c r="I106" s="62">
        <f t="shared" si="9"/>
        <v>0</v>
      </c>
      <c r="J106" s="229"/>
      <c r="K106" s="246">
        <v>2248500</v>
      </c>
      <c r="L106" s="67">
        <f t="shared" si="17"/>
        <v>2013616</v>
      </c>
    </row>
    <row r="107" spans="1:12" x14ac:dyDescent="0.3">
      <c r="A107" s="32">
        <v>46154</v>
      </c>
      <c r="B107" s="230" t="s">
        <v>837</v>
      </c>
      <c r="C107" s="244"/>
      <c r="D107" s="236"/>
      <c r="E107" s="231"/>
      <c r="F107" s="54">
        <f t="shared" si="16"/>
        <v>366</v>
      </c>
      <c r="G107" s="240"/>
      <c r="H107" s="228"/>
      <c r="I107" s="62">
        <f t="shared" si="9"/>
        <v>0</v>
      </c>
      <c r="J107" s="266"/>
      <c r="K107" s="246">
        <v>1780500</v>
      </c>
      <c r="L107" s="67">
        <f t="shared" si="17"/>
        <v>233116</v>
      </c>
    </row>
    <row r="108" spans="1:12" x14ac:dyDescent="0.3">
      <c r="A108" s="32">
        <v>46154</v>
      </c>
      <c r="B108" s="230" t="s">
        <v>838</v>
      </c>
      <c r="C108" s="245"/>
      <c r="D108" s="236"/>
      <c r="E108" s="231"/>
      <c r="F108" s="54">
        <f t="shared" si="16"/>
        <v>366</v>
      </c>
      <c r="G108" s="241"/>
      <c r="H108" s="226"/>
      <c r="I108" s="62">
        <f t="shared" si="9"/>
        <v>0</v>
      </c>
      <c r="J108" s="130"/>
      <c r="K108" s="246">
        <v>5000</v>
      </c>
      <c r="L108" s="67">
        <f t="shared" si="17"/>
        <v>228116</v>
      </c>
    </row>
    <row r="109" spans="1:12" x14ac:dyDescent="0.3">
      <c r="A109" s="32">
        <v>46154</v>
      </c>
      <c r="B109" s="230" t="s">
        <v>839</v>
      </c>
      <c r="C109" s="244"/>
      <c r="D109" s="236"/>
      <c r="E109" s="231"/>
      <c r="F109" s="54">
        <f t="shared" si="16"/>
        <v>366</v>
      </c>
      <c r="G109" s="240"/>
      <c r="H109" s="226"/>
      <c r="I109" s="62">
        <f t="shared" si="9"/>
        <v>0</v>
      </c>
      <c r="J109" s="264"/>
      <c r="K109" s="246">
        <v>40000</v>
      </c>
      <c r="L109" s="67">
        <f t="shared" si="17"/>
        <v>188116</v>
      </c>
    </row>
    <row r="110" spans="1:12" x14ac:dyDescent="0.3">
      <c r="A110" s="32">
        <v>46154</v>
      </c>
      <c r="B110" s="230" t="s">
        <v>840</v>
      </c>
      <c r="C110" s="244"/>
      <c r="D110" s="236"/>
      <c r="E110" s="231">
        <v>200</v>
      </c>
      <c r="F110" s="54">
        <f t="shared" si="16"/>
        <v>166</v>
      </c>
      <c r="G110" s="240"/>
      <c r="H110" s="226"/>
      <c r="I110" s="62">
        <f t="shared" si="9"/>
        <v>0</v>
      </c>
      <c r="J110" s="271"/>
      <c r="K110" s="246"/>
      <c r="L110" s="67">
        <f t="shared" si="17"/>
        <v>188116</v>
      </c>
    </row>
    <row r="111" spans="1:12" x14ac:dyDescent="0.3">
      <c r="A111" s="32">
        <v>46154</v>
      </c>
      <c r="B111" s="230" t="s">
        <v>841</v>
      </c>
      <c r="C111" s="244"/>
      <c r="D111" s="236"/>
      <c r="E111" s="231">
        <v>140</v>
      </c>
      <c r="F111" s="54">
        <f t="shared" si="16"/>
        <v>26</v>
      </c>
      <c r="G111" s="240"/>
      <c r="H111" s="226"/>
      <c r="I111" s="62">
        <f t="shared" si="9"/>
        <v>0</v>
      </c>
      <c r="J111" s="248"/>
      <c r="K111" s="246">
        <v>10000</v>
      </c>
      <c r="L111" s="67">
        <f t="shared" si="17"/>
        <v>178116</v>
      </c>
    </row>
    <row r="112" spans="1:12" x14ac:dyDescent="0.3">
      <c r="A112" s="32">
        <v>46154</v>
      </c>
      <c r="B112" s="222" t="s">
        <v>842</v>
      </c>
      <c r="C112" s="244"/>
      <c r="D112" s="236"/>
      <c r="E112" s="231"/>
      <c r="F112" s="54">
        <f t="shared" si="16"/>
        <v>26</v>
      </c>
      <c r="G112" s="240"/>
      <c r="H112" s="226"/>
      <c r="I112" s="62">
        <f t="shared" si="9"/>
        <v>0</v>
      </c>
      <c r="J112" s="130">
        <v>80000</v>
      </c>
      <c r="K112" s="246"/>
      <c r="L112" s="67">
        <f t="shared" si="17"/>
        <v>258116</v>
      </c>
    </row>
    <row r="113" spans="1:12" x14ac:dyDescent="0.3">
      <c r="A113" s="32">
        <v>46155</v>
      </c>
      <c r="B113" s="222" t="s">
        <v>806</v>
      </c>
      <c r="C113" s="244"/>
      <c r="D113" s="237">
        <v>3500</v>
      </c>
      <c r="E113" s="231"/>
      <c r="F113" s="54">
        <f>+F112+C113+D113-E113</f>
        <v>3526</v>
      </c>
      <c r="G113" s="240"/>
      <c r="H113" s="226">
        <v>0</v>
      </c>
      <c r="I113" s="62">
        <f t="shared" si="9"/>
        <v>0</v>
      </c>
      <c r="J113" s="272"/>
      <c r="K113" s="246"/>
      <c r="L113" s="67">
        <f>+L112+J113-K113</f>
        <v>258116</v>
      </c>
    </row>
    <row r="114" spans="1:12" x14ac:dyDescent="0.3">
      <c r="A114" s="32">
        <v>46155</v>
      </c>
      <c r="B114" s="230" t="s">
        <v>843</v>
      </c>
      <c r="C114" s="244"/>
      <c r="D114" s="236"/>
      <c r="E114" s="231">
        <v>110</v>
      </c>
      <c r="F114" s="54">
        <f t="shared" ref="F114:F128" si="18">+F113+C114+D114-E114</f>
        <v>3416</v>
      </c>
      <c r="G114" s="241"/>
      <c r="H114" s="226"/>
      <c r="I114" s="62">
        <f t="shared" si="9"/>
        <v>0</v>
      </c>
      <c r="J114" s="295"/>
      <c r="K114" s="246"/>
      <c r="L114" s="67">
        <f t="shared" ref="L114:L128" si="19">+L113+J114-K114</f>
        <v>258116</v>
      </c>
    </row>
    <row r="115" spans="1:12" x14ac:dyDescent="0.3">
      <c r="A115" s="32">
        <v>46155</v>
      </c>
      <c r="B115" s="230" t="s">
        <v>844</v>
      </c>
      <c r="C115" s="244"/>
      <c r="D115" s="237"/>
      <c r="E115" s="231">
        <v>180</v>
      </c>
      <c r="F115" s="54">
        <f t="shared" si="18"/>
        <v>3236</v>
      </c>
      <c r="G115" s="241"/>
      <c r="H115" s="226"/>
      <c r="I115" s="62">
        <f t="shared" si="9"/>
        <v>0</v>
      </c>
      <c r="J115" s="130"/>
      <c r="K115" s="246"/>
      <c r="L115" s="67">
        <f t="shared" si="19"/>
        <v>258116</v>
      </c>
    </row>
    <row r="116" spans="1:12" x14ac:dyDescent="0.3">
      <c r="A116" s="32">
        <v>46155</v>
      </c>
      <c r="B116" s="230" t="s">
        <v>845</v>
      </c>
      <c r="C116" s="244"/>
      <c r="D116" s="236"/>
      <c r="E116" s="231">
        <v>99</v>
      </c>
      <c r="F116" s="54">
        <f t="shared" si="18"/>
        <v>3137</v>
      </c>
      <c r="G116" s="241"/>
      <c r="H116" s="280"/>
      <c r="I116" s="62">
        <f t="shared" si="9"/>
        <v>0</v>
      </c>
      <c r="J116" s="37"/>
      <c r="K116" s="246"/>
      <c r="L116" s="67">
        <f t="shared" si="19"/>
        <v>258116</v>
      </c>
    </row>
    <row r="117" spans="1:12" x14ac:dyDescent="0.3">
      <c r="A117" s="32">
        <v>46155</v>
      </c>
      <c r="B117" s="230" t="s">
        <v>846</v>
      </c>
      <c r="C117" s="244"/>
      <c r="D117" s="237"/>
      <c r="E117" s="231">
        <v>162</v>
      </c>
      <c r="F117" s="54">
        <f t="shared" si="18"/>
        <v>2975</v>
      </c>
      <c r="G117" s="240"/>
      <c r="H117" s="226"/>
      <c r="I117" s="62">
        <f t="shared" si="9"/>
        <v>0</v>
      </c>
      <c r="J117" s="37"/>
      <c r="K117" s="246"/>
      <c r="L117" s="67">
        <f t="shared" si="19"/>
        <v>258116</v>
      </c>
    </row>
    <row r="118" spans="1:12" x14ac:dyDescent="0.3">
      <c r="A118" s="32">
        <v>46155</v>
      </c>
      <c r="B118" s="230" t="s">
        <v>847</v>
      </c>
      <c r="C118" s="244"/>
      <c r="D118" s="236"/>
      <c r="E118" s="231">
        <v>300</v>
      </c>
      <c r="F118" s="54">
        <f t="shared" si="18"/>
        <v>2675</v>
      </c>
      <c r="G118" s="240"/>
      <c r="H118" s="226"/>
      <c r="I118" s="62">
        <f t="shared" si="9"/>
        <v>0</v>
      </c>
      <c r="J118" s="229"/>
      <c r="K118" s="246"/>
      <c r="L118" s="67">
        <f t="shared" si="19"/>
        <v>258116</v>
      </c>
    </row>
    <row r="119" spans="1:12" x14ac:dyDescent="0.3">
      <c r="A119" s="32">
        <v>46155</v>
      </c>
      <c r="B119" s="230" t="s">
        <v>848</v>
      </c>
      <c r="C119" s="244"/>
      <c r="D119" s="236"/>
      <c r="E119" s="231">
        <v>100</v>
      </c>
      <c r="F119" s="54">
        <f t="shared" si="18"/>
        <v>2575</v>
      </c>
      <c r="G119" s="240"/>
      <c r="H119" s="228"/>
      <c r="I119" s="62">
        <f t="shared" si="9"/>
        <v>0</v>
      </c>
      <c r="J119" s="266"/>
      <c r="K119" s="246"/>
      <c r="L119" s="67">
        <f t="shared" si="19"/>
        <v>258116</v>
      </c>
    </row>
    <row r="120" spans="1:12" x14ac:dyDescent="0.3">
      <c r="A120" s="32">
        <v>46155</v>
      </c>
      <c r="B120" s="230" t="s">
        <v>849</v>
      </c>
      <c r="C120" s="245"/>
      <c r="D120" s="236"/>
      <c r="E120" s="231">
        <v>783</v>
      </c>
      <c r="F120" s="54">
        <f t="shared" si="18"/>
        <v>1792</v>
      </c>
      <c r="G120" s="241"/>
      <c r="H120" s="226"/>
      <c r="I120" s="62">
        <f t="shared" si="9"/>
        <v>0</v>
      </c>
      <c r="J120" s="130"/>
      <c r="K120" s="246"/>
      <c r="L120" s="67">
        <f t="shared" si="19"/>
        <v>258116</v>
      </c>
    </row>
    <row r="121" spans="1:12" x14ac:dyDescent="0.3">
      <c r="A121" s="32">
        <v>46155</v>
      </c>
      <c r="B121" s="230" t="s">
        <v>850</v>
      </c>
      <c r="C121" s="244"/>
      <c r="D121" s="236"/>
      <c r="E121" s="231">
        <v>950</v>
      </c>
      <c r="F121" s="54">
        <f t="shared" si="18"/>
        <v>842</v>
      </c>
      <c r="G121" s="240"/>
      <c r="H121" s="226"/>
      <c r="I121" s="62">
        <f t="shared" si="9"/>
        <v>0</v>
      </c>
      <c r="J121" s="264"/>
      <c r="K121" s="246"/>
      <c r="L121" s="67">
        <f t="shared" si="19"/>
        <v>258116</v>
      </c>
    </row>
    <row r="122" spans="1:12" x14ac:dyDescent="0.3">
      <c r="A122" s="32">
        <v>46155</v>
      </c>
      <c r="B122" s="230" t="s">
        <v>851</v>
      </c>
      <c r="C122" s="244"/>
      <c r="D122" s="236"/>
      <c r="E122" s="231">
        <v>120</v>
      </c>
      <c r="F122" s="54">
        <f t="shared" si="18"/>
        <v>722</v>
      </c>
      <c r="G122" s="240"/>
      <c r="H122" s="226"/>
      <c r="I122" s="62">
        <f t="shared" si="9"/>
        <v>0</v>
      </c>
      <c r="J122" s="271"/>
      <c r="K122" s="246"/>
      <c r="L122" s="67">
        <f t="shared" si="19"/>
        <v>258116</v>
      </c>
    </row>
    <row r="123" spans="1:12" x14ac:dyDescent="0.3">
      <c r="A123" s="32">
        <v>46155</v>
      </c>
      <c r="B123" s="230" t="s">
        <v>852</v>
      </c>
      <c r="C123" s="244"/>
      <c r="D123" s="236"/>
      <c r="E123" s="231">
        <v>297</v>
      </c>
      <c r="F123" s="54">
        <f t="shared" si="18"/>
        <v>425</v>
      </c>
      <c r="G123" s="240"/>
      <c r="H123" s="226"/>
      <c r="I123" s="62">
        <f t="shared" si="9"/>
        <v>0</v>
      </c>
      <c r="J123" s="248"/>
      <c r="K123" s="246"/>
      <c r="L123" s="67">
        <f t="shared" si="19"/>
        <v>258116</v>
      </c>
    </row>
    <row r="124" spans="1:12" x14ac:dyDescent="0.3">
      <c r="A124" s="32">
        <v>46155</v>
      </c>
      <c r="B124" s="230" t="s">
        <v>853</v>
      </c>
      <c r="C124" s="244"/>
      <c r="D124" s="236"/>
      <c r="E124" s="231">
        <v>360</v>
      </c>
      <c r="F124" s="54">
        <f t="shared" si="18"/>
        <v>65</v>
      </c>
      <c r="G124" s="240"/>
      <c r="H124" s="226"/>
      <c r="I124" s="62">
        <f t="shared" si="9"/>
        <v>0</v>
      </c>
      <c r="J124" s="130"/>
      <c r="K124" s="246"/>
      <c r="L124" s="67">
        <f t="shared" si="19"/>
        <v>258116</v>
      </c>
    </row>
    <row r="125" spans="1:12" x14ac:dyDescent="0.3">
      <c r="A125" s="32">
        <v>46155</v>
      </c>
      <c r="B125" s="230" t="s">
        <v>27</v>
      </c>
      <c r="C125" s="244"/>
      <c r="D125" s="237"/>
      <c r="E125" s="231">
        <v>40</v>
      </c>
      <c r="F125" s="54">
        <f t="shared" si="18"/>
        <v>25</v>
      </c>
      <c r="G125" s="241"/>
      <c r="H125" s="226"/>
      <c r="I125" s="62">
        <f t="shared" si="9"/>
        <v>0</v>
      </c>
      <c r="J125" s="271"/>
      <c r="K125" s="246"/>
      <c r="L125" s="67">
        <f t="shared" si="19"/>
        <v>258116</v>
      </c>
    </row>
    <row r="126" spans="1:12" x14ac:dyDescent="0.3">
      <c r="A126" s="32">
        <v>46155</v>
      </c>
      <c r="B126" s="232" t="s">
        <v>854</v>
      </c>
      <c r="C126" s="244">
        <v>420</v>
      </c>
      <c r="D126" s="236"/>
      <c r="E126" s="231"/>
      <c r="F126" s="54">
        <f t="shared" si="18"/>
        <v>445</v>
      </c>
      <c r="G126" s="241"/>
      <c r="H126" s="226"/>
      <c r="I126" s="62">
        <f t="shared" si="9"/>
        <v>0</v>
      </c>
      <c r="J126" s="248"/>
      <c r="K126" s="246"/>
      <c r="L126" s="67">
        <f t="shared" si="19"/>
        <v>258116</v>
      </c>
    </row>
    <row r="127" spans="1:12" x14ac:dyDescent="0.3">
      <c r="A127" s="32">
        <v>46155</v>
      </c>
      <c r="B127" s="230" t="s">
        <v>855</v>
      </c>
      <c r="C127" s="244"/>
      <c r="D127" s="237"/>
      <c r="E127" s="231"/>
      <c r="F127" s="54">
        <f t="shared" si="18"/>
        <v>445</v>
      </c>
      <c r="G127" s="242"/>
      <c r="H127" s="227"/>
      <c r="I127" s="62">
        <f t="shared" si="9"/>
        <v>0</v>
      </c>
      <c r="J127" s="271"/>
      <c r="K127" s="246">
        <v>25000</v>
      </c>
      <c r="L127" s="67">
        <f t="shared" si="19"/>
        <v>233116</v>
      </c>
    </row>
    <row r="128" spans="1:12" x14ac:dyDescent="0.3">
      <c r="A128" s="32">
        <v>46155</v>
      </c>
      <c r="B128" s="230" t="s">
        <v>856</v>
      </c>
      <c r="C128" s="239"/>
      <c r="D128" s="237"/>
      <c r="E128" s="231"/>
      <c r="F128" s="54">
        <f t="shared" si="18"/>
        <v>445</v>
      </c>
      <c r="G128" s="243"/>
      <c r="H128" s="227"/>
      <c r="I128" s="62">
        <f t="shared" si="9"/>
        <v>0</v>
      </c>
      <c r="J128" s="233"/>
      <c r="K128" s="246">
        <v>14000</v>
      </c>
      <c r="L128" s="67">
        <f t="shared" si="19"/>
        <v>219116</v>
      </c>
    </row>
    <row r="129" spans="1:12" x14ac:dyDescent="0.3">
      <c r="A129" s="32">
        <v>46156</v>
      </c>
      <c r="B129" s="222" t="s">
        <v>806</v>
      </c>
      <c r="C129" s="244"/>
      <c r="D129" s="237">
        <v>8500</v>
      </c>
      <c r="E129" s="231"/>
      <c r="F129" s="54">
        <f>+F128+C129+D129-E129</f>
        <v>8945</v>
      </c>
      <c r="G129" s="240"/>
      <c r="H129" s="226">
        <v>0</v>
      </c>
      <c r="I129" s="62">
        <f t="shared" si="9"/>
        <v>0</v>
      </c>
      <c r="J129" s="272"/>
      <c r="K129" s="246"/>
      <c r="L129" s="67">
        <f>+L128+J129-K129</f>
        <v>219116</v>
      </c>
    </row>
    <row r="130" spans="1:12" x14ac:dyDescent="0.3">
      <c r="A130" s="32">
        <v>46156</v>
      </c>
      <c r="B130" s="232" t="s">
        <v>857</v>
      </c>
      <c r="C130" s="244">
        <v>410</v>
      </c>
      <c r="D130" s="236"/>
      <c r="E130" s="231"/>
      <c r="F130" s="54">
        <f t="shared" ref="F130:F141" si="20">+F129+C130+D130-E130</f>
        <v>9355</v>
      </c>
      <c r="G130" s="241"/>
      <c r="H130" s="226"/>
      <c r="I130" s="62">
        <f t="shared" si="9"/>
        <v>0</v>
      </c>
      <c r="J130" s="295"/>
      <c r="K130" s="246"/>
      <c r="L130" s="67">
        <f t="shared" ref="L130:L141" si="21">+L129+J130-K130</f>
        <v>219116</v>
      </c>
    </row>
    <row r="131" spans="1:12" x14ac:dyDescent="0.3">
      <c r="A131" s="32">
        <v>46156</v>
      </c>
      <c r="B131" s="232" t="s">
        <v>858</v>
      </c>
      <c r="C131" s="244">
        <v>170</v>
      </c>
      <c r="D131" s="237"/>
      <c r="E131" s="231"/>
      <c r="F131" s="54">
        <f t="shared" si="20"/>
        <v>9525</v>
      </c>
      <c r="G131" s="241"/>
      <c r="H131" s="226"/>
      <c r="I131" s="62">
        <f t="shared" si="9"/>
        <v>0</v>
      </c>
      <c r="J131" s="264">
        <v>9000</v>
      </c>
      <c r="K131" s="246"/>
      <c r="L131" s="67">
        <f t="shared" si="21"/>
        <v>228116</v>
      </c>
    </row>
    <row r="132" spans="1:12" x14ac:dyDescent="0.3">
      <c r="A132" s="32">
        <v>46156</v>
      </c>
      <c r="B132" s="222" t="s">
        <v>23</v>
      </c>
      <c r="C132" s="244"/>
      <c r="D132" s="236"/>
      <c r="E132" s="224">
        <v>8300</v>
      </c>
      <c r="F132" s="54">
        <f t="shared" si="20"/>
        <v>1225</v>
      </c>
      <c r="G132" s="241"/>
      <c r="H132" s="280"/>
      <c r="I132" s="62">
        <f t="shared" si="9"/>
        <v>0</v>
      </c>
      <c r="J132" s="37">
        <v>19090000</v>
      </c>
      <c r="K132" s="246"/>
      <c r="L132" s="67">
        <f t="shared" si="21"/>
        <v>19318116</v>
      </c>
    </row>
    <row r="133" spans="1:12" x14ac:dyDescent="0.3">
      <c r="A133" s="32">
        <v>46156</v>
      </c>
      <c r="B133" s="232" t="s">
        <v>859</v>
      </c>
      <c r="C133" s="244"/>
      <c r="D133" s="237"/>
      <c r="E133" s="231"/>
      <c r="F133" s="54">
        <f t="shared" si="20"/>
        <v>1225</v>
      </c>
      <c r="G133" s="240"/>
      <c r="H133" s="226"/>
      <c r="I133" s="62">
        <f t="shared" si="9"/>
        <v>0</v>
      </c>
      <c r="J133" s="37"/>
      <c r="K133" s="246">
        <v>10676584</v>
      </c>
      <c r="L133" s="67">
        <f t="shared" si="21"/>
        <v>8641532</v>
      </c>
    </row>
    <row r="134" spans="1:12" x14ac:dyDescent="0.3">
      <c r="A134" s="32">
        <v>46156</v>
      </c>
      <c r="B134" s="232" t="s">
        <v>860</v>
      </c>
      <c r="C134" s="244"/>
      <c r="D134" s="236"/>
      <c r="E134" s="231"/>
      <c r="F134" s="54">
        <f t="shared" si="20"/>
        <v>1225</v>
      </c>
      <c r="G134" s="240"/>
      <c r="H134" s="226"/>
      <c r="I134" s="62">
        <f t="shared" ref="I134:I197" si="22">+I133+G134-H134</f>
        <v>0</v>
      </c>
      <c r="J134" s="229"/>
      <c r="K134" s="246">
        <v>7068257</v>
      </c>
      <c r="L134" s="67">
        <f t="shared" si="21"/>
        <v>1573275</v>
      </c>
    </row>
    <row r="135" spans="1:12" x14ac:dyDescent="0.3">
      <c r="A135" s="32">
        <v>46156</v>
      </c>
      <c r="B135" s="232" t="s">
        <v>861</v>
      </c>
      <c r="C135" s="244"/>
      <c r="D135" s="236"/>
      <c r="E135" s="231"/>
      <c r="F135" s="54">
        <f t="shared" si="20"/>
        <v>1225</v>
      </c>
      <c r="G135" s="240"/>
      <c r="H135" s="228"/>
      <c r="I135" s="62">
        <f t="shared" si="22"/>
        <v>0</v>
      </c>
      <c r="J135" s="266"/>
      <c r="K135" s="246">
        <v>1150000</v>
      </c>
      <c r="L135" s="67">
        <f t="shared" si="21"/>
        <v>423275</v>
      </c>
    </row>
    <row r="136" spans="1:12" x14ac:dyDescent="0.3">
      <c r="A136" s="32">
        <v>46156</v>
      </c>
      <c r="B136" s="232" t="s">
        <v>862</v>
      </c>
      <c r="C136" s="245"/>
      <c r="D136" s="236"/>
      <c r="E136" s="231"/>
      <c r="F136" s="54">
        <f t="shared" si="20"/>
        <v>1225</v>
      </c>
      <c r="G136" s="241"/>
      <c r="H136" s="226"/>
      <c r="I136" s="62">
        <f t="shared" si="22"/>
        <v>0</v>
      </c>
      <c r="J136" s="130"/>
      <c r="K136" s="246">
        <v>120000</v>
      </c>
      <c r="L136" s="67">
        <f t="shared" si="21"/>
        <v>303275</v>
      </c>
    </row>
    <row r="137" spans="1:12" x14ac:dyDescent="0.3">
      <c r="A137" s="32">
        <v>46156</v>
      </c>
      <c r="B137" s="230" t="s">
        <v>863</v>
      </c>
      <c r="C137" s="244"/>
      <c r="D137" s="236"/>
      <c r="E137" s="231"/>
      <c r="F137" s="54">
        <f t="shared" si="20"/>
        <v>1225</v>
      </c>
      <c r="G137" s="240"/>
      <c r="H137" s="226"/>
      <c r="I137" s="62">
        <f t="shared" si="22"/>
        <v>0</v>
      </c>
      <c r="J137" s="264"/>
      <c r="K137" s="246">
        <v>10000</v>
      </c>
      <c r="L137" s="67">
        <f t="shared" si="21"/>
        <v>293275</v>
      </c>
    </row>
    <row r="138" spans="1:12" x14ac:dyDescent="0.3">
      <c r="A138" s="32">
        <v>46156</v>
      </c>
      <c r="B138" s="230" t="s">
        <v>36</v>
      </c>
      <c r="C138" s="244"/>
      <c r="D138" s="236"/>
      <c r="E138" s="231">
        <v>50</v>
      </c>
      <c r="F138" s="54">
        <f t="shared" si="20"/>
        <v>1175</v>
      </c>
      <c r="G138" s="240"/>
      <c r="H138" s="226"/>
      <c r="I138" s="62">
        <f t="shared" si="22"/>
        <v>0</v>
      </c>
      <c r="J138" s="271"/>
      <c r="K138" s="246"/>
      <c r="L138" s="67">
        <f t="shared" si="21"/>
        <v>293275</v>
      </c>
    </row>
    <row r="139" spans="1:12" x14ac:dyDescent="0.3">
      <c r="A139" s="32">
        <v>46156</v>
      </c>
      <c r="B139" s="230" t="s">
        <v>864</v>
      </c>
      <c r="C139" s="244"/>
      <c r="D139" s="236"/>
      <c r="E139" s="231"/>
      <c r="F139" s="54">
        <f t="shared" si="20"/>
        <v>1175</v>
      </c>
      <c r="G139" s="240"/>
      <c r="H139" s="226"/>
      <c r="I139" s="62">
        <f t="shared" si="22"/>
        <v>0</v>
      </c>
      <c r="J139" s="248"/>
      <c r="K139" s="246">
        <v>33000</v>
      </c>
      <c r="L139" s="67">
        <f t="shared" si="21"/>
        <v>260275</v>
      </c>
    </row>
    <row r="140" spans="1:12" x14ac:dyDescent="0.3">
      <c r="A140" s="32">
        <v>46156</v>
      </c>
      <c r="B140" s="230" t="s">
        <v>865</v>
      </c>
      <c r="C140" s="244"/>
      <c r="D140" s="236"/>
      <c r="E140" s="231">
        <v>85</v>
      </c>
      <c r="F140" s="54">
        <f t="shared" si="20"/>
        <v>1090</v>
      </c>
      <c r="G140" s="240"/>
      <c r="H140" s="226"/>
      <c r="I140" s="62">
        <f t="shared" si="22"/>
        <v>0</v>
      </c>
      <c r="J140" s="130"/>
      <c r="K140" s="246"/>
      <c r="L140" s="67">
        <f t="shared" si="21"/>
        <v>260275</v>
      </c>
    </row>
    <row r="141" spans="1:12" x14ac:dyDescent="0.3">
      <c r="A141" s="32">
        <v>46156</v>
      </c>
      <c r="B141" s="230" t="s">
        <v>416</v>
      </c>
      <c r="C141" s="244"/>
      <c r="D141" s="237"/>
      <c r="E141" s="231">
        <v>300</v>
      </c>
      <c r="F141" s="54">
        <f t="shared" si="20"/>
        <v>790</v>
      </c>
      <c r="G141" s="241"/>
      <c r="H141" s="226"/>
      <c r="I141" s="62">
        <f t="shared" si="22"/>
        <v>0</v>
      </c>
      <c r="J141" s="271"/>
      <c r="K141" s="246"/>
      <c r="L141" s="67">
        <f t="shared" si="21"/>
        <v>260275</v>
      </c>
    </row>
    <row r="142" spans="1:12" x14ac:dyDescent="0.3">
      <c r="A142" s="32">
        <v>46157</v>
      </c>
      <c r="B142" s="234" t="s">
        <v>16</v>
      </c>
      <c r="C142" s="244"/>
      <c r="D142" s="236">
        <v>1500</v>
      </c>
      <c r="E142" s="231"/>
      <c r="F142" s="54">
        <f>+F141+C142+D142-E142</f>
        <v>2290</v>
      </c>
      <c r="G142" s="240"/>
      <c r="H142" s="226">
        <v>0</v>
      </c>
      <c r="I142" s="62">
        <f t="shared" si="22"/>
        <v>0</v>
      </c>
      <c r="J142" s="272"/>
      <c r="K142" s="246"/>
      <c r="L142" s="67">
        <f>+L141+J142-K142</f>
        <v>260275</v>
      </c>
    </row>
    <row r="143" spans="1:12" x14ac:dyDescent="0.3">
      <c r="A143" s="32">
        <v>46157</v>
      </c>
      <c r="B143" s="230" t="s">
        <v>234</v>
      </c>
      <c r="C143" s="244"/>
      <c r="D143" s="236"/>
      <c r="E143" s="231">
        <v>50</v>
      </c>
      <c r="F143" s="54">
        <f t="shared" ref="F143:F160" si="23">+F142+C143+D143-E143</f>
        <v>2240</v>
      </c>
      <c r="G143" s="241"/>
      <c r="H143" s="226"/>
      <c r="I143" s="62">
        <f t="shared" si="22"/>
        <v>0</v>
      </c>
      <c r="J143" s="295"/>
      <c r="K143" s="246"/>
      <c r="L143" s="67">
        <f t="shared" ref="L143:L160" si="24">+L142+J143-K143</f>
        <v>260275</v>
      </c>
    </row>
    <row r="144" spans="1:12" x14ac:dyDescent="0.3">
      <c r="A144" s="32">
        <v>46157</v>
      </c>
      <c r="B144" s="230" t="s">
        <v>725</v>
      </c>
      <c r="C144" s="244"/>
      <c r="D144" s="237"/>
      <c r="E144" s="231">
        <v>132</v>
      </c>
      <c r="F144" s="54">
        <f t="shared" si="23"/>
        <v>2108</v>
      </c>
      <c r="G144" s="241"/>
      <c r="H144" s="226"/>
      <c r="I144" s="62">
        <f t="shared" si="22"/>
        <v>0</v>
      </c>
      <c r="J144" s="264"/>
      <c r="K144" s="246"/>
      <c r="L144" s="67">
        <f t="shared" si="24"/>
        <v>260275</v>
      </c>
    </row>
    <row r="145" spans="1:12" x14ac:dyDescent="0.3">
      <c r="A145" s="32">
        <v>46157</v>
      </c>
      <c r="B145" s="230" t="s">
        <v>48</v>
      </c>
      <c r="C145" s="244"/>
      <c r="D145" s="236"/>
      <c r="E145" s="231">
        <v>70</v>
      </c>
      <c r="F145" s="54">
        <f t="shared" si="23"/>
        <v>2038</v>
      </c>
      <c r="G145" s="241"/>
      <c r="H145" s="280"/>
      <c r="I145" s="62">
        <f t="shared" si="22"/>
        <v>0</v>
      </c>
      <c r="J145" s="37"/>
      <c r="K145" s="246"/>
      <c r="L145" s="67">
        <f t="shared" si="24"/>
        <v>260275</v>
      </c>
    </row>
    <row r="146" spans="1:12" x14ac:dyDescent="0.3">
      <c r="A146" s="32">
        <v>46157</v>
      </c>
      <c r="B146" s="232" t="s">
        <v>866</v>
      </c>
      <c r="C146" s="244"/>
      <c r="D146" s="237"/>
      <c r="E146" s="231">
        <v>250</v>
      </c>
      <c r="F146" s="54">
        <f t="shared" si="23"/>
        <v>1788</v>
      </c>
      <c r="G146" s="240"/>
      <c r="H146" s="226"/>
      <c r="I146" s="62">
        <f t="shared" si="22"/>
        <v>0</v>
      </c>
      <c r="J146" s="37"/>
      <c r="K146" s="246"/>
      <c r="L146" s="67">
        <f t="shared" si="24"/>
        <v>260275</v>
      </c>
    </row>
    <row r="147" spans="1:12" x14ac:dyDescent="0.3">
      <c r="A147" s="32">
        <v>46157</v>
      </c>
      <c r="B147" s="232" t="s">
        <v>867</v>
      </c>
      <c r="C147" s="244"/>
      <c r="D147" s="236"/>
      <c r="E147" s="231">
        <v>250</v>
      </c>
      <c r="F147" s="54">
        <f t="shared" si="23"/>
        <v>1538</v>
      </c>
      <c r="G147" s="240"/>
      <c r="H147" s="226"/>
      <c r="I147" s="62">
        <f t="shared" si="22"/>
        <v>0</v>
      </c>
      <c r="J147" s="229"/>
      <c r="K147" s="246"/>
      <c r="L147" s="67">
        <f t="shared" si="24"/>
        <v>260275</v>
      </c>
    </row>
    <row r="148" spans="1:12" x14ac:dyDescent="0.3">
      <c r="A148" s="32">
        <v>46157</v>
      </c>
      <c r="B148" s="232" t="s">
        <v>868</v>
      </c>
      <c r="C148" s="244"/>
      <c r="D148" s="236"/>
      <c r="E148" s="231">
        <v>250</v>
      </c>
      <c r="F148" s="54">
        <f t="shared" si="23"/>
        <v>1288</v>
      </c>
      <c r="G148" s="240"/>
      <c r="H148" s="228"/>
      <c r="I148" s="62">
        <f t="shared" si="22"/>
        <v>0</v>
      </c>
      <c r="J148" s="266"/>
      <c r="K148" s="246"/>
      <c r="L148" s="67">
        <f t="shared" si="24"/>
        <v>260275</v>
      </c>
    </row>
    <row r="149" spans="1:12" x14ac:dyDescent="0.3">
      <c r="A149" s="32">
        <v>46157</v>
      </c>
      <c r="B149" s="230" t="s">
        <v>869</v>
      </c>
      <c r="C149" s="245"/>
      <c r="D149" s="236"/>
      <c r="E149" s="231">
        <v>300</v>
      </c>
      <c r="F149" s="54">
        <f t="shared" si="23"/>
        <v>988</v>
      </c>
      <c r="G149" s="241"/>
      <c r="H149" s="226"/>
      <c r="I149" s="62">
        <f t="shared" si="22"/>
        <v>0</v>
      </c>
      <c r="J149" s="130"/>
      <c r="K149" s="246"/>
      <c r="L149" s="67">
        <f t="shared" si="24"/>
        <v>260275</v>
      </c>
    </row>
    <row r="150" spans="1:12" x14ac:dyDescent="0.3">
      <c r="A150" s="32">
        <v>46157</v>
      </c>
      <c r="B150" s="230" t="s">
        <v>870</v>
      </c>
      <c r="C150" s="244"/>
      <c r="D150" s="236"/>
      <c r="E150" s="231">
        <v>250</v>
      </c>
      <c r="F150" s="54">
        <f t="shared" si="23"/>
        <v>738</v>
      </c>
      <c r="G150" s="240"/>
      <c r="H150" s="226"/>
      <c r="I150" s="62">
        <f t="shared" si="22"/>
        <v>0</v>
      </c>
      <c r="J150" s="264"/>
      <c r="K150" s="246"/>
      <c r="L150" s="67">
        <f t="shared" si="24"/>
        <v>260275</v>
      </c>
    </row>
    <row r="151" spans="1:12" x14ac:dyDescent="0.3">
      <c r="A151" s="32">
        <v>46157</v>
      </c>
      <c r="B151" s="230" t="s">
        <v>871</v>
      </c>
      <c r="C151" s="244"/>
      <c r="D151" s="236"/>
      <c r="E151" s="231">
        <v>10</v>
      </c>
      <c r="F151" s="54">
        <f t="shared" si="23"/>
        <v>728</v>
      </c>
      <c r="G151" s="240"/>
      <c r="H151" s="226"/>
      <c r="I151" s="62">
        <f t="shared" si="22"/>
        <v>0</v>
      </c>
      <c r="J151" s="271"/>
      <c r="K151" s="246"/>
      <c r="L151" s="67">
        <f t="shared" si="24"/>
        <v>260275</v>
      </c>
    </row>
    <row r="152" spans="1:12" x14ac:dyDescent="0.3">
      <c r="A152" s="32">
        <v>46157</v>
      </c>
      <c r="B152" s="222" t="s">
        <v>23</v>
      </c>
      <c r="C152" s="244"/>
      <c r="D152" s="236"/>
      <c r="E152" s="224">
        <v>50</v>
      </c>
      <c r="F152" s="54">
        <f t="shared" si="23"/>
        <v>678</v>
      </c>
      <c r="G152" s="240"/>
      <c r="H152" s="226"/>
      <c r="I152" s="62">
        <f t="shared" si="22"/>
        <v>0</v>
      </c>
      <c r="J152" s="130">
        <v>112500</v>
      </c>
      <c r="K152" s="246"/>
      <c r="L152" s="67">
        <f t="shared" si="24"/>
        <v>372775</v>
      </c>
    </row>
    <row r="153" spans="1:12" x14ac:dyDescent="0.3">
      <c r="A153" s="32">
        <v>46157</v>
      </c>
      <c r="B153" s="230" t="s">
        <v>872</v>
      </c>
      <c r="C153" s="244"/>
      <c r="D153" s="236"/>
      <c r="E153" s="231"/>
      <c r="F153" s="54">
        <f t="shared" si="23"/>
        <v>678</v>
      </c>
      <c r="G153" s="240"/>
      <c r="H153" s="226"/>
      <c r="I153" s="62">
        <f t="shared" si="22"/>
        <v>0</v>
      </c>
      <c r="J153" s="130"/>
      <c r="K153" s="246">
        <v>62424</v>
      </c>
      <c r="L153" s="67">
        <f t="shared" si="24"/>
        <v>310351</v>
      </c>
    </row>
    <row r="154" spans="1:12" x14ac:dyDescent="0.3">
      <c r="A154" s="32">
        <v>46157</v>
      </c>
      <c r="B154" s="230" t="s">
        <v>873</v>
      </c>
      <c r="C154" s="244"/>
      <c r="D154" s="237"/>
      <c r="E154" s="231"/>
      <c r="F154" s="54">
        <f t="shared" si="23"/>
        <v>678</v>
      </c>
      <c r="G154" s="241"/>
      <c r="H154" s="226"/>
      <c r="I154" s="62">
        <f t="shared" si="22"/>
        <v>0</v>
      </c>
      <c r="J154" s="271"/>
      <c r="K154" s="246">
        <v>12500</v>
      </c>
      <c r="L154" s="67">
        <f t="shared" si="24"/>
        <v>297851</v>
      </c>
    </row>
    <row r="155" spans="1:12" x14ac:dyDescent="0.3">
      <c r="A155" s="32">
        <v>46157</v>
      </c>
      <c r="B155" s="230" t="s">
        <v>874</v>
      </c>
      <c r="C155" s="244"/>
      <c r="D155" s="236"/>
      <c r="E155" s="231"/>
      <c r="F155" s="54">
        <f t="shared" si="23"/>
        <v>678</v>
      </c>
      <c r="G155" s="241"/>
      <c r="H155" s="226"/>
      <c r="I155" s="62">
        <f t="shared" si="22"/>
        <v>0</v>
      </c>
      <c r="J155" s="248"/>
      <c r="K155" s="246">
        <v>25000</v>
      </c>
      <c r="L155" s="67">
        <f t="shared" si="24"/>
        <v>272851</v>
      </c>
    </row>
    <row r="156" spans="1:12" x14ac:dyDescent="0.3">
      <c r="A156" s="32">
        <v>46157</v>
      </c>
      <c r="B156" s="230" t="s">
        <v>875</v>
      </c>
      <c r="C156" s="244"/>
      <c r="D156" s="237"/>
      <c r="E156" s="231"/>
      <c r="F156" s="54">
        <f t="shared" si="23"/>
        <v>678</v>
      </c>
      <c r="G156" s="242"/>
      <c r="H156" s="227"/>
      <c r="I156" s="62">
        <f t="shared" si="22"/>
        <v>0</v>
      </c>
      <c r="J156" s="271"/>
      <c r="K156" s="246">
        <v>51408</v>
      </c>
      <c r="L156" s="67">
        <f t="shared" si="24"/>
        <v>221443</v>
      </c>
    </row>
    <row r="157" spans="1:12" x14ac:dyDescent="0.3">
      <c r="A157" s="32">
        <v>46157</v>
      </c>
      <c r="B157" s="230" t="s">
        <v>876</v>
      </c>
      <c r="C157" s="239"/>
      <c r="D157" s="237"/>
      <c r="E157" s="231">
        <v>26</v>
      </c>
      <c r="F157" s="54">
        <f t="shared" si="23"/>
        <v>652</v>
      </c>
      <c r="G157" s="243"/>
      <c r="H157" s="227"/>
      <c r="I157" s="62">
        <f t="shared" si="22"/>
        <v>0</v>
      </c>
      <c r="J157" s="233"/>
      <c r="K157" s="246"/>
      <c r="L157" s="67">
        <f t="shared" si="24"/>
        <v>221443</v>
      </c>
    </row>
    <row r="158" spans="1:12" x14ac:dyDescent="0.3">
      <c r="A158" s="32">
        <v>46157</v>
      </c>
      <c r="B158" s="230" t="s">
        <v>52</v>
      </c>
      <c r="C158" s="244"/>
      <c r="D158" s="236"/>
      <c r="E158" s="231"/>
      <c r="F158" s="54">
        <f t="shared" si="23"/>
        <v>652</v>
      </c>
      <c r="G158" s="223"/>
      <c r="H158" s="221"/>
      <c r="I158" s="62">
        <f t="shared" si="22"/>
        <v>0</v>
      </c>
      <c r="J158" s="271"/>
      <c r="K158" s="246">
        <v>10000</v>
      </c>
      <c r="L158" s="67">
        <f t="shared" si="24"/>
        <v>211443</v>
      </c>
    </row>
    <row r="159" spans="1:12" x14ac:dyDescent="0.3">
      <c r="A159" s="32">
        <v>46157</v>
      </c>
      <c r="B159" s="230" t="s">
        <v>877</v>
      </c>
      <c r="C159" s="244"/>
      <c r="D159" s="236"/>
      <c r="E159" s="231">
        <v>70</v>
      </c>
      <c r="F159" s="54">
        <f t="shared" si="23"/>
        <v>582</v>
      </c>
      <c r="G159" s="223"/>
      <c r="H159" s="227"/>
      <c r="I159" s="62">
        <f t="shared" si="22"/>
        <v>0</v>
      </c>
      <c r="J159" s="264"/>
      <c r="K159" s="246"/>
      <c r="L159" s="67">
        <f t="shared" si="24"/>
        <v>211443</v>
      </c>
    </row>
    <row r="160" spans="1:12" x14ac:dyDescent="0.3">
      <c r="A160" s="32">
        <v>46157</v>
      </c>
      <c r="B160" s="230" t="s">
        <v>61</v>
      </c>
      <c r="C160" s="244"/>
      <c r="D160" s="236"/>
      <c r="E160" s="231">
        <v>100</v>
      </c>
      <c r="F160" s="54">
        <f t="shared" si="23"/>
        <v>482</v>
      </c>
      <c r="G160" s="223"/>
      <c r="H160" s="227"/>
      <c r="I160" s="62">
        <f t="shared" si="22"/>
        <v>0</v>
      </c>
      <c r="J160" s="264"/>
      <c r="K160" s="246"/>
      <c r="L160" s="67">
        <f t="shared" si="24"/>
        <v>211443</v>
      </c>
    </row>
    <row r="161" spans="1:12" x14ac:dyDescent="0.3">
      <c r="A161" s="32">
        <v>46158</v>
      </c>
      <c r="B161" s="230" t="s">
        <v>878</v>
      </c>
      <c r="C161" s="244"/>
      <c r="D161" s="236"/>
      <c r="E161" s="231">
        <v>100</v>
      </c>
      <c r="F161" s="54">
        <f>+F160+C161+D161-E161</f>
        <v>382</v>
      </c>
      <c r="G161" s="240"/>
      <c r="H161" s="226">
        <v>0</v>
      </c>
      <c r="I161" s="62">
        <f t="shared" si="22"/>
        <v>0</v>
      </c>
      <c r="J161" s="272"/>
      <c r="K161" s="246"/>
      <c r="L161" s="67">
        <f>+L160+J161-K161</f>
        <v>211443</v>
      </c>
    </row>
    <row r="162" spans="1:12" x14ac:dyDescent="0.3">
      <c r="A162" s="32">
        <v>46161</v>
      </c>
      <c r="B162" s="234" t="s">
        <v>16</v>
      </c>
      <c r="C162" s="244"/>
      <c r="D162" s="236">
        <v>1500</v>
      </c>
      <c r="E162" s="231"/>
      <c r="F162" s="54">
        <f>+F161+C162+D162-E162</f>
        <v>1882</v>
      </c>
      <c r="G162" s="240"/>
      <c r="H162" s="226">
        <v>0</v>
      </c>
      <c r="I162" s="62">
        <f t="shared" si="22"/>
        <v>0</v>
      </c>
      <c r="J162" s="272"/>
      <c r="K162" s="246"/>
      <c r="L162" s="67">
        <f>+L161+J162-K162</f>
        <v>211443</v>
      </c>
    </row>
    <row r="163" spans="1:12" x14ac:dyDescent="0.3">
      <c r="A163" s="32">
        <v>46161</v>
      </c>
      <c r="B163" s="222" t="s">
        <v>72</v>
      </c>
      <c r="C163" s="244"/>
      <c r="D163" s="236">
        <v>2000</v>
      </c>
      <c r="E163" s="231"/>
      <c r="F163" s="54">
        <f t="shared" ref="F163:F178" si="25">+F162+C163+D163-E163</f>
        <v>3882</v>
      </c>
      <c r="G163" s="241"/>
      <c r="H163" s="226"/>
      <c r="I163" s="62">
        <f t="shared" si="22"/>
        <v>0</v>
      </c>
      <c r="J163" s="295"/>
      <c r="K163" s="246"/>
      <c r="L163" s="67">
        <f t="shared" ref="L163:L178" si="26">+L162+J163-K163</f>
        <v>211443</v>
      </c>
    </row>
    <row r="164" spans="1:12" x14ac:dyDescent="0.3">
      <c r="A164" s="32">
        <v>46161</v>
      </c>
      <c r="B164" s="230" t="s">
        <v>879</v>
      </c>
      <c r="C164" s="244"/>
      <c r="D164" s="237"/>
      <c r="E164" s="231">
        <v>2000</v>
      </c>
      <c r="F164" s="54">
        <f t="shared" si="25"/>
        <v>1882</v>
      </c>
      <c r="G164" s="241"/>
      <c r="H164" s="226"/>
      <c r="I164" s="62">
        <f t="shared" si="22"/>
        <v>0</v>
      </c>
      <c r="J164" s="264"/>
      <c r="K164" s="246"/>
      <c r="L164" s="67">
        <f t="shared" si="26"/>
        <v>211443</v>
      </c>
    </row>
    <row r="165" spans="1:12" x14ac:dyDescent="0.3">
      <c r="A165" s="32">
        <v>46161</v>
      </c>
      <c r="B165" s="230" t="s">
        <v>880</v>
      </c>
      <c r="C165" s="244"/>
      <c r="D165" s="236"/>
      <c r="E165" s="231">
        <v>70</v>
      </c>
      <c r="F165" s="54">
        <f t="shared" si="25"/>
        <v>1812</v>
      </c>
      <c r="G165" s="241"/>
      <c r="H165" s="280"/>
      <c r="I165" s="62">
        <f t="shared" si="22"/>
        <v>0</v>
      </c>
      <c r="J165" s="37"/>
      <c r="K165" s="246"/>
      <c r="L165" s="67">
        <f t="shared" si="26"/>
        <v>211443</v>
      </c>
    </row>
    <row r="166" spans="1:12" x14ac:dyDescent="0.3">
      <c r="A166" s="32">
        <v>46161</v>
      </c>
      <c r="B166" s="230" t="s">
        <v>881</v>
      </c>
      <c r="C166" s="244"/>
      <c r="D166" s="237"/>
      <c r="E166" s="231">
        <v>10</v>
      </c>
      <c r="F166" s="54">
        <f t="shared" si="25"/>
        <v>1802</v>
      </c>
      <c r="G166" s="240"/>
      <c r="H166" s="226"/>
      <c r="I166" s="62">
        <f t="shared" si="22"/>
        <v>0</v>
      </c>
      <c r="J166" s="37"/>
      <c r="K166" s="246"/>
      <c r="L166" s="67">
        <f t="shared" si="26"/>
        <v>211443</v>
      </c>
    </row>
    <row r="167" spans="1:12" x14ac:dyDescent="0.3">
      <c r="A167" s="32">
        <v>46161</v>
      </c>
      <c r="B167" s="230" t="s">
        <v>882</v>
      </c>
      <c r="C167" s="244"/>
      <c r="D167" s="236"/>
      <c r="E167" s="231">
        <v>130</v>
      </c>
      <c r="F167" s="54">
        <f t="shared" si="25"/>
        <v>1672</v>
      </c>
      <c r="G167" s="240"/>
      <c r="H167" s="226"/>
      <c r="I167" s="62">
        <f t="shared" si="22"/>
        <v>0</v>
      </c>
      <c r="J167" s="229"/>
      <c r="K167" s="246"/>
      <c r="L167" s="67">
        <f t="shared" si="26"/>
        <v>211443</v>
      </c>
    </row>
    <row r="168" spans="1:12" x14ac:dyDescent="0.3">
      <c r="A168" s="32">
        <v>46161</v>
      </c>
      <c r="B168" s="230" t="s">
        <v>883</v>
      </c>
      <c r="C168" s="244"/>
      <c r="D168" s="236"/>
      <c r="E168" s="231">
        <v>50</v>
      </c>
      <c r="F168" s="54">
        <f t="shared" si="25"/>
        <v>1622</v>
      </c>
      <c r="G168" s="240"/>
      <c r="H168" s="228"/>
      <c r="I168" s="62">
        <f t="shared" si="22"/>
        <v>0</v>
      </c>
      <c r="J168" s="266"/>
      <c r="K168" s="246"/>
      <c r="L168" s="67">
        <f t="shared" si="26"/>
        <v>211443</v>
      </c>
    </row>
    <row r="169" spans="1:12" x14ac:dyDescent="0.3">
      <c r="A169" s="32">
        <v>46161</v>
      </c>
      <c r="B169" s="230" t="s">
        <v>884</v>
      </c>
      <c r="C169" s="244"/>
      <c r="D169" s="236"/>
      <c r="E169" s="231">
        <v>500</v>
      </c>
      <c r="F169" s="54">
        <f t="shared" si="25"/>
        <v>1122</v>
      </c>
      <c r="G169" s="241"/>
      <c r="H169" s="226"/>
      <c r="I169" s="62">
        <f t="shared" si="22"/>
        <v>0</v>
      </c>
      <c r="J169" s="130"/>
      <c r="K169" s="246"/>
      <c r="L169" s="67">
        <f t="shared" si="26"/>
        <v>211443</v>
      </c>
    </row>
    <row r="170" spans="1:12" x14ac:dyDescent="0.3">
      <c r="A170" s="32">
        <v>46161</v>
      </c>
      <c r="B170" s="230" t="s">
        <v>885</v>
      </c>
      <c r="C170" s="244"/>
      <c r="D170" s="236"/>
      <c r="E170" s="231">
        <v>193</v>
      </c>
      <c r="F170" s="54">
        <f t="shared" si="25"/>
        <v>929</v>
      </c>
      <c r="G170" s="240"/>
      <c r="H170" s="226"/>
      <c r="I170" s="62">
        <f t="shared" si="22"/>
        <v>0</v>
      </c>
      <c r="J170" s="264"/>
      <c r="K170" s="246"/>
      <c r="L170" s="67">
        <f t="shared" si="26"/>
        <v>211443</v>
      </c>
    </row>
    <row r="171" spans="1:12" x14ac:dyDescent="0.3">
      <c r="A171" s="32">
        <v>46161</v>
      </c>
      <c r="B171" s="230" t="s">
        <v>886</v>
      </c>
      <c r="C171" s="244"/>
      <c r="D171" s="236"/>
      <c r="E171" s="231">
        <v>110</v>
      </c>
      <c r="F171" s="54">
        <f t="shared" si="25"/>
        <v>819</v>
      </c>
      <c r="G171" s="240"/>
      <c r="H171" s="226"/>
      <c r="I171" s="62">
        <f t="shared" si="22"/>
        <v>0</v>
      </c>
      <c r="J171" s="271"/>
      <c r="K171" s="246"/>
      <c r="L171" s="67">
        <f t="shared" si="26"/>
        <v>211443</v>
      </c>
    </row>
    <row r="172" spans="1:12" x14ac:dyDescent="0.3">
      <c r="A172" s="32">
        <v>46161</v>
      </c>
      <c r="B172" s="230" t="s">
        <v>91</v>
      </c>
      <c r="C172" s="244"/>
      <c r="D172" s="236"/>
      <c r="E172" s="231">
        <v>80</v>
      </c>
      <c r="F172" s="54">
        <f t="shared" si="25"/>
        <v>739</v>
      </c>
      <c r="G172" s="240"/>
      <c r="H172" s="226"/>
      <c r="I172" s="62">
        <f t="shared" si="22"/>
        <v>0</v>
      </c>
      <c r="J172" s="130"/>
      <c r="K172" s="246"/>
      <c r="L172" s="67">
        <f t="shared" si="26"/>
        <v>211443</v>
      </c>
    </row>
    <row r="173" spans="1:12" x14ac:dyDescent="0.3">
      <c r="A173" s="32">
        <v>46161</v>
      </c>
      <c r="B173" s="230" t="s">
        <v>25</v>
      </c>
      <c r="C173" s="244"/>
      <c r="D173" s="236"/>
      <c r="E173" s="231">
        <v>20</v>
      </c>
      <c r="F173" s="54">
        <f t="shared" si="25"/>
        <v>719</v>
      </c>
      <c r="G173" s="240"/>
      <c r="H173" s="226"/>
      <c r="I173" s="62">
        <f t="shared" si="22"/>
        <v>0</v>
      </c>
      <c r="J173" s="130"/>
      <c r="K173" s="246"/>
      <c r="L173" s="67">
        <f t="shared" si="26"/>
        <v>211443</v>
      </c>
    </row>
    <row r="174" spans="1:12" x14ac:dyDescent="0.3">
      <c r="A174" s="32">
        <v>46161</v>
      </c>
      <c r="B174" s="230" t="s">
        <v>292</v>
      </c>
      <c r="C174" s="244"/>
      <c r="D174" s="237"/>
      <c r="E174" s="231">
        <v>40</v>
      </c>
      <c r="F174" s="54">
        <f t="shared" si="25"/>
        <v>679</v>
      </c>
      <c r="G174" s="241"/>
      <c r="H174" s="226"/>
      <c r="I174" s="62">
        <f t="shared" si="22"/>
        <v>0</v>
      </c>
      <c r="J174" s="271"/>
      <c r="K174" s="246"/>
      <c r="L174" s="67">
        <f t="shared" si="26"/>
        <v>211443</v>
      </c>
    </row>
    <row r="175" spans="1:12" x14ac:dyDescent="0.3">
      <c r="A175" s="32">
        <v>46161</v>
      </c>
      <c r="B175" s="230" t="s">
        <v>887</v>
      </c>
      <c r="C175" s="244"/>
      <c r="D175" s="236"/>
      <c r="E175" s="231">
        <v>140</v>
      </c>
      <c r="F175" s="54">
        <f t="shared" si="25"/>
        <v>539</v>
      </c>
      <c r="G175" s="241"/>
      <c r="H175" s="226"/>
      <c r="I175" s="62">
        <f t="shared" si="22"/>
        <v>0</v>
      </c>
      <c r="J175" s="248"/>
      <c r="K175" s="246"/>
      <c r="L175" s="67">
        <f t="shared" si="26"/>
        <v>211443</v>
      </c>
    </row>
    <row r="176" spans="1:12" x14ac:dyDescent="0.3">
      <c r="A176" s="32">
        <v>46161</v>
      </c>
      <c r="B176" s="222" t="s">
        <v>23</v>
      </c>
      <c r="C176" s="244"/>
      <c r="D176" s="237"/>
      <c r="E176" s="231">
        <v>50</v>
      </c>
      <c r="F176" s="54">
        <f t="shared" si="25"/>
        <v>489</v>
      </c>
      <c r="G176" s="242"/>
      <c r="H176" s="227"/>
      <c r="I176" s="62">
        <f t="shared" si="22"/>
        <v>0</v>
      </c>
      <c r="J176" s="271">
        <v>112500</v>
      </c>
      <c r="K176" s="246"/>
      <c r="L176" s="67">
        <f t="shared" si="26"/>
        <v>323943</v>
      </c>
    </row>
    <row r="177" spans="1:12" x14ac:dyDescent="0.3">
      <c r="A177" s="32">
        <v>46161</v>
      </c>
      <c r="B177" s="230" t="s">
        <v>888</v>
      </c>
      <c r="C177" s="239"/>
      <c r="D177" s="237"/>
      <c r="E177" s="231"/>
      <c r="F177" s="54">
        <f t="shared" si="25"/>
        <v>489</v>
      </c>
      <c r="G177" s="243"/>
      <c r="H177" s="227"/>
      <c r="I177" s="62">
        <f t="shared" si="22"/>
        <v>0</v>
      </c>
      <c r="J177" s="233"/>
      <c r="K177" s="246">
        <v>53000</v>
      </c>
      <c r="L177" s="67">
        <f t="shared" si="26"/>
        <v>270943</v>
      </c>
    </row>
    <row r="178" spans="1:12" x14ac:dyDescent="0.3">
      <c r="A178" s="32">
        <v>46161</v>
      </c>
      <c r="B178" s="230" t="s">
        <v>889</v>
      </c>
      <c r="C178" s="244"/>
      <c r="D178" s="236"/>
      <c r="E178" s="231"/>
      <c r="F178" s="54">
        <f t="shared" si="25"/>
        <v>489</v>
      </c>
      <c r="G178" s="223"/>
      <c r="H178" s="221"/>
      <c r="I178" s="62">
        <f t="shared" si="22"/>
        <v>0</v>
      </c>
      <c r="J178" s="271"/>
      <c r="K178" s="246">
        <v>120000</v>
      </c>
      <c r="L178" s="67">
        <f t="shared" si="26"/>
        <v>150943</v>
      </c>
    </row>
    <row r="179" spans="1:12" x14ac:dyDescent="0.3">
      <c r="A179" s="32">
        <v>46162</v>
      </c>
      <c r="B179" s="230" t="s">
        <v>43</v>
      </c>
      <c r="C179" s="244"/>
      <c r="D179" s="236"/>
      <c r="E179" s="231"/>
      <c r="F179" s="54">
        <f>+F178+C179+D179-E179</f>
        <v>489</v>
      </c>
      <c r="G179" s="240"/>
      <c r="H179" s="226">
        <v>0</v>
      </c>
      <c r="I179" s="62">
        <f t="shared" si="22"/>
        <v>0</v>
      </c>
      <c r="J179" s="272"/>
      <c r="K179" s="246">
        <v>10000</v>
      </c>
      <c r="L179" s="67">
        <f>+L178+J179-K179</f>
        <v>140943</v>
      </c>
    </row>
    <row r="180" spans="1:12" x14ac:dyDescent="0.3">
      <c r="A180" s="32">
        <v>46162</v>
      </c>
      <c r="B180" s="230" t="s">
        <v>17</v>
      </c>
      <c r="C180" s="244"/>
      <c r="D180" s="236"/>
      <c r="E180" s="231">
        <v>60</v>
      </c>
      <c r="F180" s="54">
        <f t="shared" ref="F180:F191" si="27">+F179+C180+D180-E180</f>
        <v>429</v>
      </c>
      <c r="G180" s="241"/>
      <c r="H180" s="226"/>
      <c r="I180" s="62">
        <f t="shared" si="22"/>
        <v>0</v>
      </c>
      <c r="J180" s="295"/>
      <c r="K180" s="246"/>
      <c r="L180" s="67">
        <f t="shared" ref="L180:L191" si="28">+L179+J180-K180</f>
        <v>140943</v>
      </c>
    </row>
    <row r="181" spans="1:12" x14ac:dyDescent="0.3">
      <c r="A181" s="32">
        <v>46162</v>
      </c>
      <c r="B181" s="230" t="s">
        <v>890</v>
      </c>
      <c r="C181" s="244"/>
      <c r="D181" s="237"/>
      <c r="E181" s="231">
        <v>20</v>
      </c>
      <c r="F181" s="54">
        <f t="shared" si="27"/>
        <v>409</v>
      </c>
      <c r="G181" s="241"/>
      <c r="H181" s="226"/>
      <c r="I181" s="62">
        <f t="shared" si="22"/>
        <v>0</v>
      </c>
      <c r="J181" s="264"/>
      <c r="K181" s="246"/>
      <c r="L181" s="67">
        <f t="shared" si="28"/>
        <v>140943</v>
      </c>
    </row>
    <row r="182" spans="1:12" x14ac:dyDescent="0.3">
      <c r="A182" s="32">
        <v>46162</v>
      </c>
      <c r="B182" s="230" t="s">
        <v>90</v>
      </c>
      <c r="C182" s="244"/>
      <c r="D182" s="236"/>
      <c r="E182" s="231"/>
      <c r="F182" s="54">
        <f t="shared" si="27"/>
        <v>409</v>
      </c>
      <c r="G182" s="241"/>
      <c r="H182" s="280"/>
      <c r="I182" s="62">
        <f t="shared" si="22"/>
        <v>0</v>
      </c>
      <c r="J182" s="37"/>
      <c r="K182" s="246">
        <v>12000</v>
      </c>
      <c r="L182" s="67">
        <f t="shared" si="28"/>
        <v>128943</v>
      </c>
    </row>
    <row r="183" spans="1:12" x14ac:dyDescent="0.3">
      <c r="A183" s="32">
        <v>46162</v>
      </c>
      <c r="B183" s="230" t="s">
        <v>28</v>
      </c>
      <c r="C183" s="244"/>
      <c r="D183" s="237"/>
      <c r="E183" s="231">
        <v>50</v>
      </c>
      <c r="F183" s="54">
        <f t="shared" si="27"/>
        <v>359</v>
      </c>
      <c r="G183" s="240"/>
      <c r="H183" s="226"/>
      <c r="I183" s="62">
        <f t="shared" si="22"/>
        <v>0</v>
      </c>
      <c r="J183" s="37"/>
      <c r="K183" s="246"/>
      <c r="L183" s="67">
        <f t="shared" si="28"/>
        <v>128943</v>
      </c>
    </row>
    <row r="184" spans="1:12" x14ac:dyDescent="0.3">
      <c r="A184" s="32">
        <v>46162</v>
      </c>
      <c r="B184" s="230" t="s">
        <v>48</v>
      </c>
      <c r="C184" s="244"/>
      <c r="D184" s="236"/>
      <c r="E184" s="231">
        <v>70</v>
      </c>
      <c r="F184" s="54">
        <f t="shared" si="27"/>
        <v>289</v>
      </c>
      <c r="G184" s="240"/>
      <c r="H184" s="226"/>
      <c r="I184" s="62">
        <f t="shared" si="22"/>
        <v>0</v>
      </c>
      <c r="J184" s="229"/>
      <c r="K184" s="246"/>
      <c r="L184" s="67">
        <f t="shared" si="28"/>
        <v>128943</v>
      </c>
    </row>
    <row r="185" spans="1:12" x14ac:dyDescent="0.3">
      <c r="A185" s="32">
        <v>46162</v>
      </c>
      <c r="B185" s="232" t="s">
        <v>891</v>
      </c>
      <c r="C185" s="244"/>
      <c r="D185" s="236"/>
      <c r="E185" s="231">
        <v>50</v>
      </c>
      <c r="F185" s="54">
        <f t="shared" si="27"/>
        <v>239</v>
      </c>
      <c r="G185" s="240"/>
      <c r="H185" s="228"/>
      <c r="I185" s="62">
        <f t="shared" si="22"/>
        <v>0</v>
      </c>
      <c r="J185" s="266"/>
      <c r="K185" s="246"/>
      <c r="L185" s="67">
        <f t="shared" si="28"/>
        <v>128943</v>
      </c>
    </row>
    <row r="186" spans="1:12" x14ac:dyDescent="0.3">
      <c r="A186" s="32">
        <v>46162</v>
      </c>
      <c r="B186" s="230" t="s">
        <v>892</v>
      </c>
      <c r="C186" s="244"/>
      <c r="D186" s="236"/>
      <c r="E186" s="231"/>
      <c r="F186" s="54">
        <f t="shared" si="27"/>
        <v>239</v>
      </c>
      <c r="G186" s="241"/>
      <c r="H186" s="226"/>
      <c r="I186" s="62">
        <f t="shared" si="22"/>
        <v>0</v>
      </c>
      <c r="J186" s="130"/>
      <c r="K186" s="246">
        <v>15000</v>
      </c>
      <c r="L186" s="67">
        <f t="shared" si="28"/>
        <v>113943</v>
      </c>
    </row>
    <row r="187" spans="1:12" x14ac:dyDescent="0.3">
      <c r="A187" s="32">
        <v>46162</v>
      </c>
      <c r="B187" s="230" t="s">
        <v>0</v>
      </c>
      <c r="C187" s="244"/>
      <c r="D187" s="236"/>
      <c r="E187" s="231"/>
      <c r="F187" s="54">
        <f t="shared" si="27"/>
        <v>239</v>
      </c>
      <c r="G187" s="240"/>
      <c r="H187" s="226"/>
      <c r="I187" s="62">
        <f t="shared" si="22"/>
        <v>0</v>
      </c>
      <c r="J187" s="264"/>
      <c r="K187" s="246"/>
      <c r="L187" s="67">
        <f t="shared" si="28"/>
        <v>113943</v>
      </c>
    </row>
    <row r="188" spans="1:12" x14ac:dyDescent="0.3">
      <c r="A188" s="32">
        <v>46162</v>
      </c>
      <c r="B188" s="234" t="s">
        <v>16</v>
      </c>
      <c r="C188" s="244"/>
      <c r="D188" s="236">
        <v>1000</v>
      </c>
      <c r="E188" s="231"/>
      <c r="F188" s="54">
        <f t="shared" si="27"/>
        <v>1239</v>
      </c>
      <c r="G188" s="240"/>
      <c r="H188" s="226"/>
      <c r="I188" s="62">
        <f t="shared" si="22"/>
        <v>0</v>
      </c>
      <c r="J188" s="271"/>
      <c r="K188" s="246"/>
      <c r="L188" s="67">
        <f t="shared" si="28"/>
        <v>113943</v>
      </c>
    </row>
    <row r="189" spans="1:12" x14ac:dyDescent="0.3">
      <c r="A189" s="32">
        <v>46162</v>
      </c>
      <c r="B189" s="230" t="s">
        <v>893</v>
      </c>
      <c r="C189" s="244"/>
      <c r="D189" s="236"/>
      <c r="E189" s="231">
        <v>172</v>
      </c>
      <c r="F189" s="54">
        <f t="shared" si="27"/>
        <v>1067</v>
      </c>
      <c r="G189" s="240"/>
      <c r="H189" s="226"/>
      <c r="I189" s="62">
        <f t="shared" si="22"/>
        <v>0</v>
      </c>
      <c r="J189" s="130"/>
      <c r="K189" s="246"/>
      <c r="L189" s="67">
        <f t="shared" si="28"/>
        <v>113943</v>
      </c>
    </row>
    <row r="190" spans="1:12" x14ac:dyDescent="0.3">
      <c r="A190" s="32">
        <v>46162</v>
      </c>
      <c r="B190" s="230" t="s">
        <v>894</v>
      </c>
      <c r="C190" s="244"/>
      <c r="D190" s="236"/>
      <c r="E190" s="231">
        <v>200</v>
      </c>
      <c r="F190" s="54">
        <f t="shared" si="27"/>
        <v>867</v>
      </c>
      <c r="G190" s="240"/>
      <c r="H190" s="226"/>
      <c r="I190" s="62">
        <f t="shared" si="22"/>
        <v>0</v>
      </c>
      <c r="J190" s="130"/>
      <c r="K190" s="246"/>
      <c r="L190" s="67">
        <f t="shared" si="28"/>
        <v>113943</v>
      </c>
    </row>
    <row r="191" spans="1:12" x14ac:dyDescent="0.3">
      <c r="A191" s="32">
        <v>46162</v>
      </c>
      <c r="B191" s="230" t="s">
        <v>895</v>
      </c>
      <c r="C191" s="244"/>
      <c r="D191" s="237"/>
      <c r="E191" s="231">
        <v>80</v>
      </c>
      <c r="F191" s="54">
        <f t="shared" si="27"/>
        <v>787</v>
      </c>
      <c r="G191" s="241"/>
      <c r="H191" s="226"/>
      <c r="I191" s="62">
        <f t="shared" si="22"/>
        <v>0</v>
      </c>
      <c r="J191" s="271"/>
      <c r="K191" s="246"/>
      <c r="L191" s="67">
        <f t="shared" si="28"/>
        <v>113943</v>
      </c>
    </row>
    <row r="192" spans="1:12" x14ac:dyDescent="0.3">
      <c r="A192" s="32">
        <v>46163</v>
      </c>
      <c r="B192" s="230" t="s">
        <v>234</v>
      </c>
      <c r="C192" s="244"/>
      <c r="D192" s="236"/>
      <c r="E192" s="231">
        <v>50</v>
      </c>
      <c r="F192" s="54">
        <f>+F191+C192+D192-E192</f>
        <v>737</v>
      </c>
      <c r="G192" s="240"/>
      <c r="H192" s="226">
        <v>0</v>
      </c>
      <c r="I192" s="62">
        <f t="shared" si="22"/>
        <v>0</v>
      </c>
      <c r="J192" s="272"/>
      <c r="K192" s="246"/>
      <c r="L192" s="67">
        <f>+L191+J192-K192</f>
        <v>113943</v>
      </c>
    </row>
    <row r="193" spans="1:12" x14ac:dyDescent="0.3">
      <c r="A193" s="32">
        <v>46163</v>
      </c>
      <c r="B193" s="230" t="s">
        <v>27</v>
      </c>
      <c r="C193" s="244"/>
      <c r="D193" s="236"/>
      <c r="E193" s="231">
        <v>40</v>
      </c>
      <c r="F193" s="54">
        <f t="shared" ref="F193:F211" si="29">+F192+C193+D193-E193</f>
        <v>697</v>
      </c>
      <c r="G193" s="241"/>
      <c r="H193" s="226"/>
      <c r="I193" s="62">
        <f t="shared" si="22"/>
        <v>0</v>
      </c>
      <c r="J193" s="295"/>
      <c r="K193" s="246"/>
      <c r="L193" s="67">
        <f t="shared" ref="L193:L211" si="30">+L192+J193-K193</f>
        <v>113943</v>
      </c>
    </row>
    <row r="194" spans="1:12" x14ac:dyDescent="0.3">
      <c r="A194" s="32">
        <v>46163</v>
      </c>
      <c r="B194" s="230" t="s">
        <v>896</v>
      </c>
      <c r="C194" s="244"/>
      <c r="D194" s="237"/>
      <c r="E194" s="231">
        <v>70</v>
      </c>
      <c r="F194" s="54">
        <f t="shared" si="29"/>
        <v>627</v>
      </c>
      <c r="G194" s="241"/>
      <c r="H194" s="226"/>
      <c r="I194" s="62">
        <f t="shared" si="22"/>
        <v>0</v>
      </c>
      <c r="J194" s="264"/>
      <c r="K194" s="246"/>
      <c r="L194" s="67">
        <f t="shared" si="30"/>
        <v>113943</v>
      </c>
    </row>
    <row r="195" spans="1:12" x14ac:dyDescent="0.3">
      <c r="A195" s="32">
        <v>46163</v>
      </c>
      <c r="B195" s="222" t="s">
        <v>23</v>
      </c>
      <c r="C195" s="244"/>
      <c r="D195" s="236"/>
      <c r="E195" s="231">
        <v>50</v>
      </c>
      <c r="F195" s="54">
        <f t="shared" si="29"/>
        <v>577</v>
      </c>
      <c r="G195" s="241"/>
      <c r="H195" s="280"/>
      <c r="I195" s="62">
        <f t="shared" si="22"/>
        <v>0</v>
      </c>
      <c r="J195" s="37">
        <v>112500</v>
      </c>
      <c r="K195" s="246"/>
      <c r="L195" s="67">
        <f t="shared" si="30"/>
        <v>226443</v>
      </c>
    </row>
    <row r="196" spans="1:12" x14ac:dyDescent="0.3">
      <c r="A196" s="32">
        <v>46163</v>
      </c>
      <c r="B196" s="230" t="s">
        <v>897</v>
      </c>
      <c r="C196" s="244"/>
      <c r="D196" s="237"/>
      <c r="E196" s="231"/>
      <c r="F196" s="54">
        <f t="shared" si="29"/>
        <v>577</v>
      </c>
      <c r="G196" s="240"/>
      <c r="H196" s="226"/>
      <c r="I196" s="62">
        <f t="shared" si="22"/>
        <v>0</v>
      </c>
      <c r="J196" s="37"/>
      <c r="K196" s="246">
        <v>10000</v>
      </c>
      <c r="L196" s="67">
        <f t="shared" si="30"/>
        <v>216443</v>
      </c>
    </row>
    <row r="197" spans="1:12" x14ac:dyDescent="0.3">
      <c r="A197" s="32">
        <v>46163</v>
      </c>
      <c r="B197" s="222" t="s">
        <v>72</v>
      </c>
      <c r="C197" s="244"/>
      <c r="D197" s="236">
        <v>3500</v>
      </c>
      <c r="E197" s="231"/>
      <c r="F197" s="54">
        <f t="shared" si="29"/>
        <v>4077</v>
      </c>
      <c r="G197" s="240"/>
      <c r="H197" s="226"/>
      <c r="I197" s="62">
        <f t="shared" si="22"/>
        <v>0</v>
      </c>
      <c r="J197" s="229"/>
      <c r="K197" s="246"/>
      <c r="L197" s="67">
        <f t="shared" si="30"/>
        <v>216443</v>
      </c>
    </row>
    <row r="198" spans="1:12" x14ac:dyDescent="0.3">
      <c r="A198" s="32">
        <v>46163</v>
      </c>
      <c r="B198" s="230" t="s">
        <v>898</v>
      </c>
      <c r="C198" s="244"/>
      <c r="D198" s="236"/>
      <c r="E198" s="231">
        <v>1500</v>
      </c>
      <c r="F198" s="54">
        <f t="shared" si="29"/>
        <v>2577</v>
      </c>
      <c r="G198" s="240"/>
      <c r="H198" s="228"/>
      <c r="I198" s="62">
        <f t="shared" ref="I198:I261" si="31">+I197+G198-H198</f>
        <v>0</v>
      </c>
      <c r="J198" s="266"/>
      <c r="K198" s="246"/>
      <c r="L198" s="67">
        <f t="shared" si="30"/>
        <v>216443</v>
      </c>
    </row>
    <row r="199" spans="1:12" x14ac:dyDescent="0.3">
      <c r="A199" s="32">
        <v>46163</v>
      </c>
      <c r="B199" s="230" t="s">
        <v>899</v>
      </c>
      <c r="C199" s="244"/>
      <c r="D199" s="236"/>
      <c r="E199" s="231">
        <v>285</v>
      </c>
      <c r="F199" s="54">
        <f t="shared" si="29"/>
        <v>2292</v>
      </c>
      <c r="G199" s="241"/>
      <c r="H199" s="226"/>
      <c r="I199" s="62">
        <f t="shared" si="31"/>
        <v>0</v>
      </c>
      <c r="J199" s="130"/>
      <c r="K199" s="246"/>
      <c r="L199" s="67">
        <f t="shared" si="30"/>
        <v>216443</v>
      </c>
    </row>
    <row r="200" spans="1:12" x14ac:dyDescent="0.3">
      <c r="A200" s="32">
        <v>46163</v>
      </c>
      <c r="B200" s="230" t="s">
        <v>900</v>
      </c>
      <c r="C200" s="244"/>
      <c r="D200" s="236"/>
      <c r="E200" s="231">
        <v>300</v>
      </c>
      <c r="F200" s="54">
        <f t="shared" si="29"/>
        <v>1992</v>
      </c>
      <c r="G200" s="240"/>
      <c r="H200" s="226"/>
      <c r="I200" s="62">
        <f t="shared" si="31"/>
        <v>0</v>
      </c>
      <c r="J200" s="264"/>
      <c r="K200" s="246"/>
      <c r="L200" s="67">
        <f t="shared" si="30"/>
        <v>216443</v>
      </c>
    </row>
    <row r="201" spans="1:12" x14ac:dyDescent="0.3">
      <c r="A201" s="32">
        <v>46163</v>
      </c>
      <c r="B201" s="230" t="s">
        <v>901</v>
      </c>
      <c r="C201" s="244"/>
      <c r="D201" s="236"/>
      <c r="E201" s="231">
        <v>450</v>
      </c>
      <c r="F201" s="54">
        <f t="shared" si="29"/>
        <v>1542</v>
      </c>
      <c r="G201" s="240"/>
      <c r="H201" s="226"/>
      <c r="I201" s="62">
        <f t="shared" si="31"/>
        <v>0</v>
      </c>
      <c r="J201" s="271"/>
      <c r="K201" s="246"/>
      <c r="L201" s="67">
        <f t="shared" si="30"/>
        <v>216443</v>
      </c>
    </row>
    <row r="202" spans="1:12" x14ac:dyDescent="0.3">
      <c r="A202" s="32">
        <v>46163</v>
      </c>
      <c r="B202" s="230" t="s">
        <v>902</v>
      </c>
      <c r="C202" s="244"/>
      <c r="D202" s="236"/>
      <c r="E202" s="231">
        <v>300</v>
      </c>
      <c r="F202" s="54">
        <f t="shared" si="29"/>
        <v>1242</v>
      </c>
      <c r="G202" s="240"/>
      <c r="H202" s="226"/>
      <c r="I202" s="62">
        <f t="shared" si="31"/>
        <v>0</v>
      </c>
      <c r="J202" s="130"/>
      <c r="K202" s="246"/>
      <c r="L202" s="67">
        <f t="shared" si="30"/>
        <v>216443</v>
      </c>
    </row>
    <row r="203" spans="1:12" x14ac:dyDescent="0.3">
      <c r="A203" s="32">
        <v>46163</v>
      </c>
      <c r="B203" s="230" t="s">
        <v>903</v>
      </c>
      <c r="C203" s="244"/>
      <c r="D203" s="236"/>
      <c r="E203" s="231">
        <v>200</v>
      </c>
      <c r="F203" s="54">
        <f t="shared" si="29"/>
        <v>1042</v>
      </c>
      <c r="G203" s="240"/>
      <c r="H203" s="226"/>
      <c r="I203" s="62">
        <f t="shared" si="31"/>
        <v>0</v>
      </c>
      <c r="J203" s="130"/>
      <c r="K203" s="246"/>
      <c r="L203" s="67">
        <f t="shared" si="30"/>
        <v>216443</v>
      </c>
    </row>
    <row r="204" spans="1:12" x14ac:dyDescent="0.3">
      <c r="A204" s="32">
        <v>46163</v>
      </c>
      <c r="B204" s="230" t="s">
        <v>66</v>
      </c>
      <c r="C204" s="244"/>
      <c r="D204" s="236"/>
      <c r="E204" s="231">
        <v>315</v>
      </c>
      <c r="F204" s="54">
        <f t="shared" si="29"/>
        <v>727</v>
      </c>
      <c r="G204" s="241"/>
      <c r="H204" s="226"/>
      <c r="I204" s="62">
        <f t="shared" si="31"/>
        <v>0</v>
      </c>
      <c r="J204" s="271"/>
      <c r="K204" s="246"/>
      <c r="L204" s="67">
        <f t="shared" si="30"/>
        <v>216443</v>
      </c>
    </row>
    <row r="205" spans="1:12" x14ac:dyDescent="0.3">
      <c r="A205" s="32">
        <v>46163</v>
      </c>
      <c r="B205" s="232" t="s">
        <v>904</v>
      </c>
      <c r="C205" s="244">
        <v>10000</v>
      </c>
      <c r="D205" s="236"/>
      <c r="E205" s="231"/>
      <c r="F205" s="54">
        <f t="shared" si="29"/>
        <v>10727</v>
      </c>
      <c r="G205" s="241"/>
      <c r="H205" s="226"/>
      <c r="I205" s="62">
        <f t="shared" si="31"/>
        <v>0</v>
      </c>
      <c r="J205" s="248"/>
      <c r="K205" s="246"/>
      <c r="L205" s="67">
        <f t="shared" si="30"/>
        <v>216443</v>
      </c>
    </row>
    <row r="206" spans="1:12" x14ac:dyDescent="0.3">
      <c r="A206" s="32">
        <v>46163</v>
      </c>
      <c r="B206" s="234" t="s">
        <v>905</v>
      </c>
      <c r="C206" s="244"/>
      <c r="D206" s="236"/>
      <c r="E206" s="231">
        <v>10000</v>
      </c>
      <c r="F206" s="54">
        <f t="shared" si="29"/>
        <v>727</v>
      </c>
      <c r="G206" s="242"/>
      <c r="H206" s="227"/>
      <c r="I206" s="62">
        <f t="shared" si="31"/>
        <v>0</v>
      </c>
      <c r="J206" s="271"/>
      <c r="K206" s="246"/>
      <c r="L206" s="67">
        <f t="shared" si="30"/>
        <v>216443</v>
      </c>
    </row>
    <row r="207" spans="1:12" x14ac:dyDescent="0.3">
      <c r="A207" s="32">
        <v>46163</v>
      </c>
      <c r="B207" s="230" t="s">
        <v>906</v>
      </c>
      <c r="C207" s="239"/>
      <c r="D207" s="237">
        <v>100</v>
      </c>
      <c r="E207" s="231"/>
      <c r="F207" s="54">
        <f t="shared" si="29"/>
        <v>827</v>
      </c>
      <c r="G207" s="243"/>
      <c r="H207" s="227"/>
      <c r="I207" s="62">
        <f t="shared" si="31"/>
        <v>0</v>
      </c>
      <c r="J207" s="233"/>
      <c r="K207" s="246"/>
      <c r="L207" s="67">
        <f t="shared" si="30"/>
        <v>216443</v>
      </c>
    </row>
    <row r="208" spans="1:12" x14ac:dyDescent="0.3">
      <c r="A208" s="32">
        <v>46163</v>
      </c>
      <c r="B208" s="230" t="s">
        <v>907</v>
      </c>
      <c r="C208" s="244"/>
      <c r="D208" s="237">
        <v>14</v>
      </c>
      <c r="E208" s="231"/>
      <c r="F208" s="54">
        <f t="shared" si="29"/>
        <v>841</v>
      </c>
      <c r="G208" s="223"/>
      <c r="H208" s="221"/>
      <c r="I208" s="62">
        <f t="shared" si="31"/>
        <v>0</v>
      </c>
      <c r="J208" s="271"/>
      <c r="K208" s="246"/>
      <c r="L208" s="67">
        <f t="shared" si="30"/>
        <v>216443</v>
      </c>
    </row>
    <row r="209" spans="1:12" x14ac:dyDescent="0.3">
      <c r="A209" s="32">
        <v>46163</v>
      </c>
      <c r="B209" s="230" t="s">
        <v>908</v>
      </c>
      <c r="C209" s="244"/>
      <c r="D209" s="236"/>
      <c r="E209" s="231"/>
      <c r="F209" s="54">
        <f t="shared" si="29"/>
        <v>841</v>
      </c>
      <c r="G209" s="223"/>
      <c r="H209" s="227"/>
      <c r="I209" s="62">
        <f t="shared" si="31"/>
        <v>0</v>
      </c>
      <c r="J209" s="264"/>
      <c r="K209" s="246">
        <v>8000</v>
      </c>
      <c r="L209" s="67">
        <f t="shared" si="30"/>
        <v>208443</v>
      </c>
    </row>
    <row r="210" spans="1:12" x14ac:dyDescent="0.3">
      <c r="A210" s="32">
        <v>46163</v>
      </c>
      <c r="B210" s="230" t="s">
        <v>909</v>
      </c>
      <c r="C210" s="244"/>
      <c r="D210" s="236"/>
      <c r="E210" s="231"/>
      <c r="F210" s="54">
        <f t="shared" si="29"/>
        <v>841</v>
      </c>
      <c r="G210" s="223"/>
      <c r="H210" s="227"/>
      <c r="I210" s="62">
        <f t="shared" si="31"/>
        <v>0</v>
      </c>
      <c r="J210" s="264"/>
      <c r="K210" s="246">
        <v>10000</v>
      </c>
      <c r="L210" s="67">
        <f t="shared" si="30"/>
        <v>198443</v>
      </c>
    </row>
    <row r="211" spans="1:12" x14ac:dyDescent="0.3">
      <c r="A211" s="32">
        <v>46163</v>
      </c>
      <c r="B211" s="230" t="s">
        <v>46</v>
      </c>
      <c r="C211" s="244"/>
      <c r="D211" s="236"/>
      <c r="E211" s="231">
        <v>114</v>
      </c>
      <c r="F211" s="54">
        <f t="shared" si="29"/>
        <v>727</v>
      </c>
      <c r="G211" s="223"/>
      <c r="H211" s="227"/>
      <c r="I211" s="62">
        <f t="shared" si="31"/>
        <v>0</v>
      </c>
      <c r="J211" s="264"/>
      <c r="K211" s="246"/>
      <c r="L211" s="67">
        <f t="shared" si="30"/>
        <v>198443</v>
      </c>
    </row>
    <row r="212" spans="1:12" x14ac:dyDescent="0.3">
      <c r="A212" s="32">
        <v>46164</v>
      </c>
      <c r="B212" s="230" t="s">
        <v>19</v>
      </c>
      <c r="C212" s="244"/>
      <c r="D212" s="236"/>
      <c r="E212" s="231">
        <v>50</v>
      </c>
      <c r="F212" s="54">
        <f>+F211+C212+D212-E212</f>
        <v>677</v>
      </c>
      <c r="G212" s="240"/>
      <c r="H212" s="226">
        <v>0</v>
      </c>
      <c r="I212" s="62">
        <f t="shared" si="31"/>
        <v>0</v>
      </c>
      <c r="J212" s="272"/>
      <c r="K212" s="246"/>
      <c r="L212" s="67">
        <f>+L211+J212-K212</f>
        <v>198443</v>
      </c>
    </row>
    <row r="213" spans="1:12" x14ac:dyDescent="0.3">
      <c r="A213" s="32">
        <v>46164</v>
      </c>
      <c r="B213" s="230" t="s">
        <v>30</v>
      </c>
      <c r="C213" s="244"/>
      <c r="D213" s="236"/>
      <c r="E213" s="231">
        <v>100</v>
      </c>
      <c r="F213" s="54">
        <f t="shared" ref="F213:F218" si="32">+F212+C213+D213-E213</f>
        <v>577</v>
      </c>
      <c r="G213" s="241"/>
      <c r="H213" s="226"/>
      <c r="I213" s="62">
        <f t="shared" si="31"/>
        <v>0</v>
      </c>
      <c r="J213" s="295"/>
      <c r="K213" s="246"/>
      <c r="L213" s="67">
        <f t="shared" ref="L213:L218" si="33">+L212+J213-K213</f>
        <v>198443</v>
      </c>
    </row>
    <row r="214" spans="1:12" x14ac:dyDescent="0.3">
      <c r="A214" s="32">
        <v>46164</v>
      </c>
      <c r="B214" s="230" t="s">
        <v>910</v>
      </c>
      <c r="C214" s="244"/>
      <c r="D214" s="237"/>
      <c r="E214" s="231">
        <v>120</v>
      </c>
      <c r="F214" s="54">
        <f t="shared" si="32"/>
        <v>457</v>
      </c>
      <c r="G214" s="241"/>
      <c r="H214" s="226"/>
      <c r="I214" s="62">
        <f t="shared" si="31"/>
        <v>0</v>
      </c>
      <c r="J214" s="264"/>
      <c r="K214" s="246"/>
      <c r="L214" s="67">
        <f t="shared" si="33"/>
        <v>198443</v>
      </c>
    </row>
    <row r="215" spans="1:12" x14ac:dyDescent="0.3">
      <c r="A215" s="32">
        <v>46164</v>
      </c>
      <c r="B215" s="230" t="s">
        <v>52</v>
      </c>
      <c r="C215" s="244"/>
      <c r="D215" s="236"/>
      <c r="E215" s="231"/>
      <c r="F215" s="54">
        <f t="shared" si="32"/>
        <v>457</v>
      </c>
      <c r="G215" s="241"/>
      <c r="H215" s="280"/>
      <c r="I215" s="62">
        <f t="shared" si="31"/>
        <v>0</v>
      </c>
      <c r="J215" s="37"/>
      <c r="K215" s="246">
        <v>10000</v>
      </c>
      <c r="L215" s="67">
        <f t="shared" si="33"/>
        <v>188443</v>
      </c>
    </row>
    <row r="216" spans="1:12" x14ac:dyDescent="0.3">
      <c r="A216" s="32">
        <v>46164</v>
      </c>
      <c r="B216" s="230" t="s">
        <v>43</v>
      </c>
      <c r="C216" s="244"/>
      <c r="D216" s="237"/>
      <c r="E216" s="231"/>
      <c r="F216" s="54">
        <f t="shared" si="32"/>
        <v>457</v>
      </c>
      <c r="G216" s="240"/>
      <c r="H216" s="226"/>
      <c r="I216" s="62">
        <f t="shared" si="31"/>
        <v>0</v>
      </c>
      <c r="J216" s="37"/>
      <c r="K216" s="246">
        <v>10000</v>
      </c>
      <c r="L216" s="67">
        <f t="shared" si="33"/>
        <v>178443</v>
      </c>
    </row>
    <row r="217" spans="1:12" x14ac:dyDescent="0.3">
      <c r="A217" s="32">
        <v>46164</v>
      </c>
      <c r="B217" s="232" t="s">
        <v>911</v>
      </c>
      <c r="C217" s="244">
        <v>450</v>
      </c>
      <c r="D217" s="236"/>
      <c r="E217" s="231"/>
      <c r="F217" s="54">
        <f t="shared" si="32"/>
        <v>907</v>
      </c>
      <c r="G217" s="240"/>
      <c r="H217" s="226"/>
      <c r="I217" s="62">
        <f t="shared" si="31"/>
        <v>0</v>
      </c>
      <c r="J217" s="229"/>
      <c r="K217" s="246"/>
      <c r="L217" s="67">
        <f t="shared" si="33"/>
        <v>178443</v>
      </c>
    </row>
    <row r="218" spans="1:12" x14ac:dyDescent="0.3">
      <c r="A218" s="32">
        <v>46164</v>
      </c>
      <c r="B218" s="230" t="s">
        <v>912</v>
      </c>
      <c r="C218" s="244"/>
      <c r="D218" s="236"/>
      <c r="E218" s="231">
        <v>410</v>
      </c>
      <c r="F218" s="54">
        <f t="shared" si="32"/>
        <v>497</v>
      </c>
      <c r="G218" s="240"/>
      <c r="H218" s="228"/>
      <c r="I218" s="62">
        <f t="shared" si="31"/>
        <v>0</v>
      </c>
      <c r="J218" s="266"/>
      <c r="K218" s="246"/>
      <c r="L218" s="67">
        <f t="shared" si="33"/>
        <v>178443</v>
      </c>
    </row>
    <row r="219" spans="1:12" x14ac:dyDescent="0.3">
      <c r="A219" s="32">
        <v>46167</v>
      </c>
      <c r="B219" s="230" t="s">
        <v>825</v>
      </c>
      <c r="C219" s="244"/>
      <c r="D219" s="236"/>
      <c r="E219" s="231">
        <v>70</v>
      </c>
      <c r="F219" s="54">
        <f>+F218+C219+D219-E219</f>
        <v>427</v>
      </c>
      <c r="G219" s="240"/>
      <c r="H219" s="226">
        <v>0</v>
      </c>
      <c r="I219" s="62">
        <f t="shared" si="31"/>
        <v>0</v>
      </c>
      <c r="J219" s="272"/>
      <c r="K219" s="246"/>
      <c r="L219" s="67">
        <f>+L218+J219-K219</f>
        <v>178443</v>
      </c>
    </row>
    <row r="220" spans="1:12" x14ac:dyDescent="0.3">
      <c r="A220" s="32">
        <v>46167</v>
      </c>
      <c r="B220" s="230" t="s">
        <v>413</v>
      </c>
      <c r="C220" s="244"/>
      <c r="D220" s="236"/>
      <c r="E220" s="231">
        <v>10</v>
      </c>
      <c r="F220" s="54">
        <f t="shared" ref="F220:F234" si="34">+F219+C220+D220-E220</f>
        <v>417</v>
      </c>
      <c r="G220" s="241"/>
      <c r="H220" s="226"/>
      <c r="I220" s="62">
        <f t="shared" si="31"/>
        <v>0</v>
      </c>
      <c r="J220" s="295"/>
      <c r="K220" s="246"/>
      <c r="L220" s="67">
        <f t="shared" ref="L220:L234" si="35">+L219+J220-K220</f>
        <v>178443</v>
      </c>
    </row>
    <row r="221" spans="1:12" x14ac:dyDescent="0.3">
      <c r="A221" s="32">
        <v>46167</v>
      </c>
      <c r="B221" s="230" t="s">
        <v>913</v>
      </c>
      <c r="C221" s="244"/>
      <c r="D221" s="237"/>
      <c r="E221" s="231"/>
      <c r="F221" s="54">
        <f t="shared" si="34"/>
        <v>417</v>
      </c>
      <c r="G221" s="241"/>
      <c r="H221" s="226"/>
      <c r="I221" s="62">
        <f t="shared" si="31"/>
        <v>0</v>
      </c>
      <c r="J221" s="264"/>
      <c r="K221" s="246">
        <v>5000</v>
      </c>
      <c r="L221" s="67">
        <f t="shared" si="35"/>
        <v>173443</v>
      </c>
    </row>
    <row r="222" spans="1:12" x14ac:dyDescent="0.3">
      <c r="A222" s="32">
        <v>46167</v>
      </c>
      <c r="B222" s="234" t="s">
        <v>33</v>
      </c>
      <c r="C222" s="267"/>
      <c r="D222" s="236">
        <v>2500</v>
      </c>
      <c r="E222" s="231"/>
      <c r="F222" s="54">
        <f t="shared" si="34"/>
        <v>2917</v>
      </c>
      <c r="G222" s="241"/>
      <c r="H222" s="280"/>
      <c r="I222" s="62">
        <f t="shared" si="31"/>
        <v>0</v>
      </c>
      <c r="J222" s="37"/>
      <c r="K222" s="246"/>
      <c r="L222" s="67">
        <f t="shared" si="35"/>
        <v>173443</v>
      </c>
    </row>
    <row r="223" spans="1:12" x14ac:dyDescent="0.3">
      <c r="A223" s="32">
        <v>46167</v>
      </c>
      <c r="B223" s="230" t="s">
        <v>914</v>
      </c>
      <c r="C223" s="244"/>
      <c r="D223" s="237"/>
      <c r="E223" s="231">
        <v>385</v>
      </c>
      <c r="F223" s="54">
        <f t="shared" si="34"/>
        <v>2532</v>
      </c>
      <c r="G223" s="240"/>
      <c r="H223" s="226"/>
      <c r="I223" s="62">
        <f t="shared" si="31"/>
        <v>0</v>
      </c>
      <c r="J223" s="37"/>
      <c r="K223" s="246"/>
      <c r="L223" s="67">
        <f t="shared" si="35"/>
        <v>173443</v>
      </c>
    </row>
    <row r="224" spans="1:12" x14ac:dyDescent="0.3">
      <c r="A224" s="32">
        <v>46167</v>
      </c>
      <c r="B224" s="230" t="s">
        <v>915</v>
      </c>
      <c r="C224" s="244"/>
      <c r="D224" s="236"/>
      <c r="E224" s="231">
        <v>898</v>
      </c>
      <c r="F224" s="54">
        <f t="shared" si="34"/>
        <v>1634</v>
      </c>
      <c r="G224" s="240"/>
      <c r="H224" s="226"/>
      <c r="I224" s="62">
        <f t="shared" si="31"/>
        <v>0</v>
      </c>
      <c r="J224" s="229"/>
      <c r="K224" s="246"/>
      <c r="L224" s="67">
        <f t="shared" si="35"/>
        <v>173443</v>
      </c>
    </row>
    <row r="225" spans="1:12" x14ac:dyDescent="0.3">
      <c r="A225" s="32">
        <v>46167</v>
      </c>
      <c r="B225" s="230" t="s">
        <v>916</v>
      </c>
      <c r="C225" s="244"/>
      <c r="D225" s="236"/>
      <c r="E225" s="231">
        <v>175</v>
      </c>
      <c r="F225" s="54">
        <f t="shared" si="34"/>
        <v>1459</v>
      </c>
      <c r="G225" s="240"/>
      <c r="H225" s="228"/>
      <c r="I225" s="62">
        <f t="shared" si="31"/>
        <v>0</v>
      </c>
      <c r="J225" s="266"/>
      <c r="K225" s="246"/>
      <c r="L225" s="67">
        <f t="shared" si="35"/>
        <v>173443</v>
      </c>
    </row>
    <row r="226" spans="1:12" x14ac:dyDescent="0.3">
      <c r="A226" s="32">
        <v>46167</v>
      </c>
      <c r="B226" s="230" t="s">
        <v>917</v>
      </c>
      <c r="C226" s="244"/>
      <c r="D226" s="236"/>
      <c r="E226" s="231">
        <v>170</v>
      </c>
      <c r="F226" s="54">
        <f t="shared" si="34"/>
        <v>1289</v>
      </c>
      <c r="G226" s="241"/>
      <c r="H226" s="226"/>
      <c r="I226" s="62">
        <f t="shared" si="31"/>
        <v>0</v>
      </c>
      <c r="J226" s="130"/>
      <c r="K226" s="246"/>
      <c r="L226" s="67">
        <f t="shared" si="35"/>
        <v>173443</v>
      </c>
    </row>
    <row r="227" spans="1:12" x14ac:dyDescent="0.3">
      <c r="A227" s="32">
        <v>46167</v>
      </c>
      <c r="B227" s="230" t="s">
        <v>918</v>
      </c>
      <c r="C227" s="244"/>
      <c r="D227" s="236"/>
      <c r="E227" s="231">
        <v>225</v>
      </c>
      <c r="F227" s="54">
        <f t="shared" si="34"/>
        <v>1064</v>
      </c>
      <c r="G227" s="240"/>
      <c r="H227" s="226"/>
      <c r="I227" s="62">
        <f t="shared" si="31"/>
        <v>0</v>
      </c>
      <c r="J227" s="264"/>
      <c r="K227" s="246"/>
      <c r="L227" s="67">
        <f t="shared" si="35"/>
        <v>173443</v>
      </c>
    </row>
    <row r="228" spans="1:12" x14ac:dyDescent="0.3">
      <c r="A228" s="32">
        <v>46167</v>
      </c>
      <c r="B228" s="230" t="s">
        <v>919</v>
      </c>
      <c r="C228" s="244"/>
      <c r="D228" s="236"/>
      <c r="E228" s="231">
        <v>45</v>
      </c>
      <c r="F228" s="54">
        <f t="shared" si="34"/>
        <v>1019</v>
      </c>
      <c r="G228" s="240"/>
      <c r="H228" s="226"/>
      <c r="I228" s="62">
        <f t="shared" si="31"/>
        <v>0</v>
      </c>
      <c r="J228" s="271"/>
      <c r="K228" s="246"/>
      <c r="L228" s="67">
        <f t="shared" si="35"/>
        <v>173443</v>
      </c>
    </row>
    <row r="229" spans="1:12" x14ac:dyDescent="0.3">
      <c r="A229" s="32">
        <v>46167</v>
      </c>
      <c r="B229" s="230" t="s">
        <v>91</v>
      </c>
      <c r="C229" s="244"/>
      <c r="D229" s="236"/>
      <c r="E229" s="231">
        <v>80</v>
      </c>
      <c r="F229" s="54">
        <f t="shared" si="34"/>
        <v>939</v>
      </c>
      <c r="G229" s="240"/>
      <c r="H229" s="226"/>
      <c r="I229" s="62">
        <f t="shared" si="31"/>
        <v>0</v>
      </c>
      <c r="J229" s="130"/>
      <c r="K229" s="246"/>
      <c r="L229" s="67">
        <f t="shared" si="35"/>
        <v>173443</v>
      </c>
    </row>
    <row r="230" spans="1:12" x14ac:dyDescent="0.3">
      <c r="A230" s="32">
        <v>46167</v>
      </c>
      <c r="B230" s="230" t="s">
        <v>292</v>
      </c>
      <c r="C230" s="244"/>
      <c r="D230" s="236"/>
      <c r="E230" s="231">
        <v>40</v>
      </c>
      <c r="F230" s="54">
        <f t="shared" si="34"/>
        <v>899</v>
      </c>
      <c r="G230" s="240"/>
      <c r="H230" s="226"/>
      <c r="I230" s="62">
        <f t="shared" si="31"/>
        <v>0</v>
      </c>
      <c r="J230" s="130"/>
      <c r="K230" s="246"/>
      <c r="L230" s="67">
        <f t="shared" si="35"/>
        <v>173443</v>
      </c>
    </row>
    <row r="231" spans="1:12" x14ac:dyDescent="0.3">
      <c r="A231" s="32">
        <v>46167</v>
      </c>
      <c r="B231" s="230" t="s">
        <v>920</v>
      </c>
      <c r="C231" s="244"/>
      <c r="D231" s="236"/>
      <c r="E231" s="231">
        <v>10</v>
      </c>
      <c r="F231" s="54">
        <f t="shared" si="34"/>
        <v>889</v>
      </c>
      <c r="G231" s="241"/>
      <c r="H231" s="226"/>
      <c r="I231" s="62">
        <f t="shared" si="31"/>
        <v>0</v>
      </c>
      <c r="J231" s="271"/>
      <c r="K231" s="246"/>
      <c r="L231" s="67">
        <f t="shared" si="35"/>
        <v>173443</v>
      </c>
    </row>
    <row r="232" spans="1:12" x14ac:dyDescent="0.3">
      <c r="A232" s="32">
        <v>46167</v>
      </c>
      <c r="B232" s="222" t="s">
        <v>23</v>
      </c>
      <c r="C232" s="244"/>
      <c r="D232" s="236"/>
      <c r="E232" s="231">
        <v>200</v>
      </c>
      <c r="F232" s="54">
        <f t="shared" si="34"/>
        <v>689</v>
      </c>
      <c r="G232" s="241"/>
      <c r="H232" s="226"/>
      <c r="I232" s="62">
        <f t="shared" si="31"/>
        <v>0</v>
      </c>
      <c r="J232" s="130">
        <v>450000</v>
      </c>
      <c r="K232" s="246"/>
      <c r="L232" s="67">
        <f t="shared" si="35"/>
        <v>623443</v>
      </c>
    </row>
    <row r="233" spans="1:12" x14ac:dyDescent="0.3">
      <c r="A233" s="32">
        <v>46167</v>
      </c>
      <c r="B233" s="230" t="s">
        <v>921</v>
      </c>
      <c r="C233" s="244"/>
      <c r="D233" s="236"/>
      <c r="E233" s="231"/>
      <c r="F233" s="54">
        <f t="shared" si="34"/>
        <v>689</v>
      </c>
      <c r="G233" s="242"/>
      <c r="H233" s="227"/>
      <c r="I233" s="62">
        <f t="shared" si="31"/>
        <v>0</v>
      </c>
      <c r="J233" s="271"/>
      <c r="K233" s="246">
        <v>457500</v>
      </c>
      <c r="L233" s="67">
        <f t="shared" si="35"/>
        <v>165943</v>
      </c>
    </row>
    <row r="234" spans="1:12" x14ac:dyDescent="0.3">
      <c r="A234" s="32">
        <v>46167</v>
      </c>
      <c r="B234" s="230" t="s">
        <v>922</v>
      </c>
      <c r="C234" s="239"/>
      <c r="D234" s="237"/>
      <c r="E234" s="231">
        <v>200</v>
      </c>
      <c r="F234" s="54">
        <f t="shared" si="34"/>
        <v>489</v>
      </c>
      <c r="G234" s="243"/>
      <c r="H234" s="227"/>
      <c r="I234" s="62">
        <f t="shared" si="31"/>
        <v>0</v>
      </c>
      <c r="J234" s="233"/>
      <c r="K234" s="246"/>
      <c r="L234" s="67">
        <f t="shared" si="35"/>
        <v>165943</v>
      </c>
    </row>
    <row r="235" spans="1:12" x14ac:dyDescent="0.3">
      <c r="A235" s="32">
        <v>46168</v>
      </c>
      <c r="B235" s="234" t="s">
        <v>33</v>
      </c>
      <c r="C235" s="267"/>
      <c r="D235" s="236">
        <v>9900</v>
      </c>
      <c r="E235" s="231"/>
      <c r="F235" s="54">
        <f>+F234+C235+D235-E235</f>
        <v>10389</v>
      </c>
      <c r="G235" s="240"/>
      <c r="H235" s="226">
        <v>0</v>
      </c>
      <c r="I235" s="62">
        <f t="shared" si="31"/>
        <v>0</v>
      </c>
      <c r="J235" s="272"/>
      <c r="K235" s="246"/>
      <c r="L235" s="67">
        <f>+L234+J235-K235</f>
        <v>165943</v>
      </c>
    </row>
    <row r="236" spans="1:12" x14ac:dyDescent="0.3">
      <c r="A236" s="32">
        <v>46168</v>
      </c>
      <c r="B236" s="234" t="s">
        <v>16</v>
      </c>
      <c r="C236" s="244"/>
      <c r="D236" s="236">
        <v>1500</v>
      </c>
      <c r="E236" s="231"/>
      <c r="F236" s="54">
        <f t="shared" ref="F236:F246" si="36">+F235+C236+D236-E236</f>
        <v>11889</v>
      </c>
      <c r="G236" s="241"/>
      <c r="H236" s="226"/>
      <c r="I236" s="62">
        <f t="shared" si="31"/>
        <v>0</v>
      </c>
      <c r="J236" s="295"/>
      <c r="K236" s="246"/>
      <c r="L236" s="67">
        <f t="shared" ref="L236:L246" si="37">+L235+J236-K236</f>
        <v>165943</v>
      </c>
    </row>
    <row r="237" spans="1:12" x14ac:dyDescent="0.3">
      <c r="A237" s="32">
        <v>46168</v>
      </c>
      <c r="B237" s="230" t="s">
        <v>27</v>
      </c>
      <c r="C237" s="244"/>
      <c r="D237" s="236"/>
      <c r="E237" s="231">
        <v>40</v>
      </c>
      <c r="F237" s="54">
        <f t="shared" si="36"/>
        <v>11849</v>
      </c>
      <c r="G237" s="241"/>
      <c r="H237" s="226"/>
      <c r="I237" s="62">
        <f t="shared" si="31"/>
        <v>0</v>
      </c>
      <c r="J237" s="264"/>
      <c r="K237" s="246">
        <v>10000</v>
      </c>
      <c r="L237" s="67">
        <f t="shared" si="37"/>
        <v>155943</v>
      </c>
    </row>
    <row r="238" spans="1:12" x14ac:dyDescent="0.3">
      <c r="A238" s="32">
        <v>46168</v>
      </c>
      <c r="B238" s="230" t="s">
        <v>923</v>
      </c>
      <c r="C238" s="244"/>
      <c r="D238" s="237"/>
      <c r="E238" s="231"/>
      <c r="F238" s="54">
        <f t="shared" si="36"/>
        <v>11849</v>
      </c>
      <c r="G238" s="241"/>
      <c r="H238" s="280"/>
      <c r="I238" s="62">
        <f t="shared" si="31"/>
        <v>0</v>
      </c>
      <c r="J238" s="37"/>
      <c r="K238" s="246">
        <v>5000</v>
      </c>
      <c r="L238" s="67">
        <f t="shared" si="37"/>
        <v>150943</v>
      </c>
    </row>
    <row r="239" spans="1:12" x14ac:dyDescent="0.3">
      <c r="A239" s="32">
        <v>46168</v>
      </c>
      <c r="B239" s="230" t="s">
        <v>924</v>
      </c>
      <c r="C239" s="267"/>
      <c r="D239" s="236"/>
      <c r="E239" s="231">
        <v>20</v>
      </c>
      <c r="F239" s="54">
        <f t="shared" si="36"/>
        <v>11829</v>
      </c>
      <c r="G239" s="240"/>
      <c r="H239" s="226"/>
      <c r="I239" s="62">
        <f t="shared" si="31"/>
        <v>0</v>
      </c>
      <c r="J239" s="37"/>
      <c r="K239" s="246"/>
      <c r="L239" s="67">
        <f t="shared" si="37"/>
        <v>150943</v>
      </c>
    </row>
    <row r="240" spans="1:12" x14ac:dyDescent="0.3">
      <c r="A240" s="32">
        <v>46168</v>
      </c>
      <c r="B240" s="230" t="s">
        <v>925</v>
      </c>
      <c r="C240" s="244"/>
      <c r="D240" s="237"/>
      <c r="E240" s="231">
        <v>500</v>
      </c>
      <c r="F240" s="54">
        <f t="shared" si="36"/>
        <v>11329</v>
      </c>
      <c r="G240" s="240"/>
      <c r="H240" s="226"/>
      <c r="I240" s="62">
        <f t="shared" si="31"/>
        <v>0</v>
      </c>
      <c r="J240" s="229"/>
      <c r="K240" s="246"/>
      <c r="L240" s="67">
        <f t="shared" si="37"/>
        <v>150943</v>
      </c>
    </row>
    <row r="241" spans="1:12" x14ac:dyDescent="0.3">
      <c r="A241" s="32">
        <v>46168</v>
      </c>
      <c r="B241" s="230" t="s">
        <v>926</v>
      </c>
      <c r="C241" s="244"/>
      <c r="D241" s="236"/>
      <c r="E241" s="231">
        <v>395</v>
      </c>
      <c r="F241" s="54">
        <f t="shared" si="36"/>
        <v>10934</v>
      </c>
      <c r="G241" s="240"/>
      <c r="H241" s="228"/>
      <c r="I241" s="62">
        <f t="shared" si="31"/>
        <v>0</v>
      </c>
      <c r="J241" s="266"/>
      <c r="K241" s="246"/>
      <c r="L241" s="67">
        <f t="shared" si="37"/>
        <v>150943</v>
      </c>
    </row>
    <row r="242" spans="1:12" x14ac:dyDescent="0.3">
      <c r="A242" s="32">
        <v>46168</v>
      </c>
      <c r="B242" s="230" t="s">
        <v>927</v>
      </c>
      <c r="C242" s="244"/>
      <c r="D242" s="236"/>
      <c r="E242" s="231">
        <v>48</v>
      </c>
      <c r="F242" s="54">
        <f t="shared" si="36"/>
        <v>10886</v>
      </c>
      <c r="G242" s="241"/>
      <c r="H242" s="226"/>
      <c r="I242" s="62">
        <f t="shared" si="31"/>
        <v>0</v>
      </c>
      <c r="J242" s="130"/>
      <c r="K242" s="246"/>
      <c r="L242" s="67">
        <f t="shared" si="37"/>
        <v>150943</v>
      </c>
    </row>
    <row r="243" spans="1:12" x14ac:dyDescent="0.3">
      <c r="A243" s="32">
        <v>46168</v>
      </c>
      <c r="B243" s="230" t="s">
        <v>928</v>
      </c>
      <c r="C243" s="244"/>
      <c r="D243" s="236"/>
      <c r="E243" s="231">
        <v>111</v>
      </c>
      <c r="F243" s="54">
        <f t="shared" si="36"/>
        <v>10775</v>
      </c>
      <c r="G243" s="240"/>
      <c r="H243" s="226"/>
      <c r="I243" s="62">
        <f t="shared" si="31"/>
        <v>0</v>
      </c>
      <c r="J243" s="264"/>
      <c r="K243" s="246"/>
      <c r="L243" s="67">
        <f t="shared" si="37"/>
        <v>150943</v>
      </c>
    </row>
    <row r="244" spans="1:12" x14ac:dyDescent="0.3">
      <c r="A244" s="32">
        <v>46168</v>
      </c>
      <c r="B244" s="232" t="s">
        <v>929</v>
      </c>
      <c r="C244" s="244">
        <v>240</v>
      </c>
      <c r="D244" s="236"/>
      <c r="E244" s="231"/>
      <c r="F244" s="54">
        <f t="shared" si="36"/>
        <v>11015</v>
      </c>
      <c r="G244" s="240"/>
      <c r="H244" s="226"/>
      <c r="I244" s="62">
        <f t="shared" si="31"/>
        <v>0</v>
      </c>
      <c r="J244" s="264">
        <v>9000</v>
      </c>
      <c r="K244" s="246"/>
      <c r="L244" s="67">
        <f t="shared" si="37"/>
        <v>159943</v>
      </c>
    </row>
    <row r="245" spans="1:12" x14ac:dyDescent="0.3">
      <c r="A245" s="32">
        <v>46168</v>
      </c>
      <c r="B245" s="232" t="s">
        <v>930</v>
      </c>
      <c r="C245" s="244">
        <v>348</v>
      </c>
      <c r="D245" s="236"/>
      <c r="E245" s="231"/>
      <c r="F245" s="54">
        <f t="shared" si="36"/>
        <v>11363</v>
      </c>
      <c r="G245" s="240"/>
      <c r="H245" s="226"/>
      <c r="I245" s="62">
        <f t="shared" si="31"/>
        <v>0</v>
      </c>
      <c r="J245" s="271"/>
      <c r="K245" s="246"/>
      <c r="L245" s="67">
        <f t="shared" si="37"/>
        <v>159943</v>
      </c>
    </row>
    <row r="246" spans="1:12" x14ac:dyDescent="0.3">
      <c r="A246" s="32">
        <v>46168</v>
      </c>
      <c r="B246" s="232" t="s">
        <v>968</v>
      </c>
      <c r="C246" s="244">
        <v>210</v>
      </c>
      <c r="D246" s="236"/>
      <c r="E246" s="231"/>
      <c r="F246" s="54">
        <f t="shared" si="36"/>
        <v>11573</v>
      </c>
      <c r="G246" s="240"/>
      <c r="H246" s="226"/>
      <c r="I246" s="62">
        <f t="shared" si="31"/>
        <v>0</v>
      </c>
      <c r="J246" s="248">
        <v>21500</v>
      </c>
      <c r="K246" s="246"/>
      <c r="L246" s="67">
        <f t="shared" si="37"/>
        <v>181443</v>
      </c>
    </row>
    <row r="247" spans="1:12" x14ac:dyDescent="0.3">
      <c r="A247" s="32">
        <v>46169</v>
      </c>
      <c r="B247" s="230" t="s">
        <v>931</v>
      </c>
      <c r="C247" s="267"/>
      <c r="D247" s="236"/>
      <c r="E247" s="231">
        <v>50</v>
      </c>
      <c r="F247" s="54">
        <f>+F246+C247+D247-E247</f>
        <v>11523</v>
      </c>
      <c r="G247" s="240"/>
      <c r="H247" s="226">
        <v>0</v>
      </c>
      <c r="I247" s="62">
        <f t="shared" si="31"/>
        <v>0</v>
      </c>
      <c r="J247" s="272"/>
      <c r="K247" s="246"/>
      <c r="L247" s="67">
        <f>+L246+J247-K247</f>
        <v>181443</v>
      </c>
    </row>
    <row r="248" spans="1:12" x14ac:dyDescent="0.3">
      <c r="A248" s="32">
        <v>46169</v>
      </c>
      <c r="B248" s="230" t="s">
        <v>48</v>
      </c>
      <c r="C248" s="244"/>
      <c r="D248" s="236"/>
      <c r="E248" s="231">
        <v>70</v>
      </c>
      <c r="F248" s="54">
        <f t="shared" ref="F248:F264" si="38">+F247+C248+D248-E248</f>
        <v>11453</v>
      </c>
      <c r="G248" s="241"/>
      <c r="H248" s="226"/>
      <c r="I248" s="62">
        <f t="shared" si="31"/>
        <v>0</v>
      </c>
      <c r="J248" s="295"/>
      <c r="K248" s="246"/>
      <c r="L248" s="67">
        <f t="shared" ref="L248:L264" si="39">+L247+J248-K248</f>
        <v>181443</v>
      </c>
    </row>
    <row r="249" spans="1:12" x14ac:dyDescent="0.3">
      <c r="A249" s="32">
        <v>46169</v>
      </c>
      <c r="B249" s="230" t="s">
        <v>932</v>
      </c>
      <c r="C249" s="244"/>
      <c r="D249" s="236"/>
      <c r="E249" s="231">
        <v>60</v>
      </c>
      <c r="F249" s="54">
        <f t="shared" si="38"/>
        <v>11393</v>
      </c>
      <c r="G249" s="241"/>
      <c r="H249" s="226"/>
      <c r="I249" s="62">
        <f t="shared" si="31"/>
        <v>0</v>
      </c>
      <c r="J249" s="264"/>
      <c r="K249" s="246"/>
      <c r="L249" s="67">
        <f t="shared" si="39"/>
        <v>181443</v>
      </c>
    </row>
    <row r="250" spans="1:12" x14ac:dyDescent="0.3">
      <c r="A250" s="32">
        <v>46169</v>
      </c>
      <c r="B250" s="230" t="s">
        <v>933</v>
      </c>
      <c r="C250" s="244"/>
      <c r="D250" s="237"/>
      <c r="E250" s="231">
        <v>90</v>
      </c>
      <c r="F250" s="54">
        <f t="shared" si="38"/>
        <v>11303</v>
      </c>
      <c r="G250" s="241"/>
      <c r="H250" s="280"/>
      <c r="I250" s="62">
        <f t="shared" si="31"/>
        <v>0</v>
      </c>
      <c r="J250" s="37"/>
      <c r="K250" s="246"/>
      <c r="L250" s="67">
        <f t="shared" si="39"/>
        <v>181443</v>
      </c>
    </row>
    <row r="251" spans="1:12" x14ac:dyDescent="0.3">
      <c r="A251" s="32">
        <v>46169</v>
      </c>
      <c r="B251" s="230" t="s">
        <v>934</v>
      </c>
      <c r="C251" s="267"/>
      <c r="D251" s="236"/>
      <c r="E251" s="231">
        <v>7</v>
      </c>
      <c r="F251" s="54">
        <f t="shared" si="38"/>
        <v>11296</v>
      </c>
      <c r="G251" s="240"/>
      <c r="H251" s="226"/>
      <c r="I251" s="62">
        <f t="shared" si="31"/>
        <v>0</v>
      </c>
      <c r="J251" s="37"/>
      <c r="K251" s="246"/>
      <c r="L251" s="67">
        <f t="shared" si="39"/>
        <v>181443</v>
      </c>
    </row>
    <row r="252" spans="1:12" x14ac:dyDescent="0.3">
      <c r="A252" s="32">
        <v>46169</v>
      </c>
      <c r="B252" s="230" t="s">
        <v>826</v>
      </c>
      <c r="C252" s="244"/>
      <c r="D252" s="237"/>
      <c r="E252" s="231"/>
      <c r="F252" s="54">
        <f t="shared" si="38"/>
        <v>11296</v>
      </c>
      <c r="G252" s="240"/>
      <c r="H252" s="226"/>
      <c r="I252" s="62">
        <f t="shared" si="31"/>
        <v>0</v>
      </c>
      <c r="J252" s="229"/>
      <c r="K252" s="246">
        <v>10000</v>
      </c>
      <c r="L252" s="67">
        <f t="shared" si="39"/>
        <v>171443</v>
      </c>
    </row>
    <row r="253" spans="1:12" x14ac:dyDescent="0.3">
      <c r="A253" s="32">
        <v>46169</v>
      </c>
      <c r="B253" s="230" t="s">
        <v>935</v>
      </c>
      <c r="C253" s="244"/>
      <c r="D253" s="236"/>
      <c r="E253" s="231">
        <v>50</v>
      </c>
      <c r="F253" s="54">
        <f t="shared" si="38"/>
        <v>11246</v>
      </c>
      <c r="G253" s="240"/>
      <c r="H253" s="228"/>
      <c r="I253" s="62">
        <f t="shared" si="31"/>
        <v>0</v>
      </c>
      <c r="J253" s="266"/>
      <c r="K253" s="246"/>
      <c r="L253" s="67">
        <f t="shared" si="39"/>
        <v>171443</v>
      </c>
    </row>
    <row r="254" spans="1:12" x14ac:dyDescent="0.3">
      <c r="A254" s="32">
        <v>46169</v>
      </c>
      <c r="B254" s="230" t="s">
        <v>936</v>
      </c>
      <c r="C254" s="244"/>
      <c r="D254" s="236"/>
      <c r="E254" s="231">
        <v>16</v>
      </c>
      <c r="F254" s="54">
        <f t="shared" si="38"/>
        <v>11230</v>
      </c>
      <c r="G254" s="241"/>
      <c r="H254" s="226"/>
      <c r="I254" s="62">
        <f t="shared" si="31"/>
        <v>0</v>
      </c>
      <c r="J254" s="130"/>
      <c r="K254" s="246"/>
      <c r="L254" s="67">
        <f t="shared" si="39"/>
        <v>171443</v>
      </c>
    </row>
    <row r="255" spans="1:12" x14ac:dyDescent="0.3">
      <c r="A255" s="32">
        <v>46169</v>
      </c>
      <c r="B255" s="230" t="s">
        <v>873</v>
      </c>
      <c r="C255" s="244"/>
      <c r="D255" s="236"/>
      <c r="E255" s="231"/>
      <c r="F255" s="54">
        <f t="shared" si="38"/>
        <v>11230</v>
      </c>
      <c r="G255" s="240"/>
      <c r="H255" s="226"/>
      <c r="I255" s="62">
        <f t="shared" si="31"/>
        <v>0</v>
      </c>
      <c r="J255" s="264"/>
      <c r="K255" s="246">
        <v>12000</v>
      </c>
      <c r="L255" s="67">
        <f t="shared" si="39"/>
        <v>159443</v>
      </c>
    </row>
    <row r="256" spans="1:12" x14ac:dyDescent="0.3">
      <c r="A256" s="32">
        <v>46169</v>
      </c>
      <c r="B256" s="230" t="s">
        <v>937</v>
      </c>
      <c r="C256" s="244"/>
      <c r="D256" s="236"/>
      <c r="E256" s="231">
        <v>259</v>
      </c>
      <c r="F256" s="54">
        <f t="shared" si="38"/>
        <v>10971</v>
      </c>
      <c r="G256" s="240"/>
      <c r="H256" s="226"/>
      <c r="I256" s="62">
        <f t="shared" si="31"/>
        <v>0</v>
      </c>
      <c r="J256" s="271"/>
      <c r="K256" s="246"/>
      <c r="L256" s="67">
        <f t="shared" si="39"/>
        <v>159443</v>
      </c>
    </row>
    <row r="257" spans="1:12" x14ac:dyDescent="0.3">
      <c r="A257" s="32">
        <v>46169</v>
      </c>
      <c r="B257" s="230" t="s">
        <v>938</v>
      </c>
      <c r="C257" s="244"/>
      <c r="D257" s="236"/>
      <c r="E257" s="231">
        <v>220</v>
      </c>
      <c r="F257" s="54">
        <f t="shared" si="38"/>
        <v>10751</v>
      </c>
      <c r="G257" s="240"/>
      <c r="H257" s="226"/>
      <c r="I257" s="62">
        <f t="shared" si="31"/>
        <v>0</v>
      </c>
      <c r="J257" s="248"/>
      <c r="K257" s="246"/>
      <c r="L257" s="67">
        <f t="shared" si="39"/>
        <v>159443</v>
      </c>
    </row>
    <row r="258" spans="1:12" x14ac:dyDescent="0.3">
      <c r="A258" s="32">
        <v>46169</v>
      </c>
      <c r="B258" s="230" t="s">
        <v>939</v>
      </c>
      <c r="C258" s="244"/>
      <c r="D258" s="236"/>
      <c r="E258" s="231">
        <v>50</v>
      </c>
      <c r="F258" s="54">
        <f t="shared" si="38"/>
        <v>10701</v>
      </c>
      <c r="G258" s="240"/>
      <c r="H258" s="226"/>
      <c r="I258" s="62">
        <f t="shared" si="31"/>
        <v>0</v>
      </c>
      <c r="J258" s="130"/>
      <c r="K258" s="246"/>
      <c r="L258" s="67">
        <f t="shared" si="39"/>
        <v>159443</v>
      </c>
    </row>
    <row r="259" spans="1:12" x14ac:dyDescent="0.3">
      <c r="A259" s="32">
        <v>46169</v>
      </c>
      <c r="B259" s="230" t="s">
        <v>940</v>
      </c>
      <c r="C259" s="244"/>
      <c r="D259" s="236"/>
      <c r="E259" s="231">
        <v>20</v>
      </c>
      <c r="F259" s="54">
        <f t="shared" si="38"/>
        <v>10681</v>
      </c>
      <c r="G259" s="241"/>
      <c r="H259" s="226"/>
      <c r="I259" s="62">
        <f t="shared" si="31"/>
        <v>0</v>
      </c>
      <c r="J259" s="271"/>
      <c r="K259" s="246"/>
      <c r="L259" s="67">
        <f t="shared" si="39"/>
        <v>159443</v>
      </c>
    </row>
    <row r="260" spans="1:12" x14ac:dyDescent="0.3">
      <c r="A260" s="32">
        <v>46169</v>
      </c>
      <c r="B260" s="222" t="s">
        <v>23</v>
      </c>
      <c r="C260" s="244"/>
      <c r="D260" s="236"/>
      <c r="E260" s="231">
        <v>100</v>
      </c>
      <c r="F260" s="54">
        <f t="shared" si="38"/>
        <v>10581</v>
      </c>
      <c r="G260" s="241"/>
      <c r="H260" s="226"/>
      <c r="I260" s="62">
        <f t="shared" si="31"/>
        <v>0</v>
      </c>
      <c r="J260" s="130">
        <v>225000</v>
      </c>
      <c r="K260" s="246"/>
      <c r="L260" s="67">
        <f t="shared" si="39"/>
        <v>384443</v>
      </c>
    </row>
    <row r="261" spans="1:12" x14ac:dyDescent="0.3">
      <c r="A261" s="32">
        <v>46169</v>
      </c>
      <c r="B261" s="230" t="s">
        <v>941</v>
      </c>
      <c r="C261" s="244"/>
      <c r="D261" s="236"/>
      <c r="E261" s="231"/>
      <c r="F261" s="54">
        <f t="shared" si="38"/>
        <v>10581</v>
      </c>
      <c r="G261" s="242"/>
      <c r="H261" s="227"/>
      <c r="I261" s="62">
        <f t="shared" si="31"/>
        <v>0</v>
      </c>
      <c r="J261" s="271"/>
      <c r="K261" s="246">
        <v>200000</v>
      </c>
      <c r="L261" s="67">
        <f t="shared" si="39"/>
        <v>184443</v>
      </c>
    </row>
    <row r="262" spans="1:12" x14ac:dyDescent="0.3">
      <c r="A262" s="32">
        <v>46169</v>
      </c>
      <c r="B262" s="230" t="s">
        <v>942</v>
      </c>
      <c r="C262" s="244"/>
      <c r="D262" s="236"/>
      <c r="E262" s="231">
        <v>58</v>
      </c>
      <c r="F262" s="54">
        <f t="shared" si="38"/>
        <v>10523</v>
      </c>
      <c r="G262" s="243"/>
      <c r="H262" s="227"/>
      <c r="I262" s="62">
        <f t="shared" ref="I262:I297" si="40">+I261+G262-H262</f>
        <v>0</v>
      </c>
      <c r="J262" s="233"/>
      <c r="K262" s="246"/>
      <c r="L262" s="67">
        <f t="shared" si="39"/>
        <v>184443</v>
      </c>
    </row>
    <row r="263" spans="1:12" x14ac:dyDescent="0.3">
      <c r="A263" s="32">
        <v>46169</v>
      </c>
      <c r="B263" s="230" t="s">
        <v>943</v>
      </c>
      <c r="C263" s="267"/>
      <c r="D263" s="236"/>
      <c r="E263" s="231"/>
      <c r="F263" s="54">
        <f t="shared" si="38"/>
        <v>10523</v>
      </c>
      <c r="G263" s="223"/>
      <c r="H263" s="221"/>
      <c r="I263" s="62">
        <f t="shared" si="40"/>
        <v>0</v>
      </c>
      <c r="J263" s="271"/>
      <c r="K263" s="246">
        <v>20000</v>
      </c>
      <c r="L263" s="67">
        <f t="shared" si="39"/>
        <v>164443</v>
      </c>
    </row>
    <row r="264" spans="1:12" x14ac:dyDescent="0.3">
      <c r="A264" s="32">
        <v>46169</v>
      </c>
      <c r="B264" s="234" t="s">
        <v>33</v>
      </c>
      <c r="C264" s="267"/>
      <c r="D264" s="236">
        <v>9900</v>
      </c>
      <c r="E264" s="231"/>
      <c r="F264" s="54">
        <f t="shared" si="38"/>
        <v>20423</v>
      </c>
      <c r="G264" s="223"/>
      <c r="H264" s="227"/>
      <c r="I264" s="62">
        <f t="shared" si="40"/>
        <v>0</v>
      </c>
      <c r="J264" s="264"/>
      <c r="K264" s="246"/>
      <c r="L264" s="67">
        <f t="shared" si="39"/>
        <v>164443</v>
      </c>
    </row>
    <row r="265" spans="1:12" x14ac:dyDescent="0.3">
      <c r="A265" s="32">
        <v>46170</v>
      </c>
      <c r="B265" s="230" t="s">
        <v>944</v>
      </c>
      <c r="C265" s="267"/>
      <c r="D265" s="236"/>
      <c r="E265" s="231"/>
      <c r="F265" s="54">
        <f>+F264+C265+D265-E265</f>
        <v>20423</v>
      </c>
      <c r="G265" s="240"/>
      <c r="H265" s="226">
        <v>0</v>
      </c>
      <c r="I265" s="62">
        <f t="shared" si="40"/>
        <v>0</v>
      </c>
      <c r="J265" s="272"/>
      <c r="K265" s="246">
        <v>10000</v>
      </c>
      <c r="L265" s="67">
        <f>+L264+J265-K265</f>
        <v>154443</v>
      </c>
    </row>
    <row r="266" spans="1:12" x14ac:dyDescent="0.3">
      <c r="A266" s="32">
        <v>46170</v>
      </c>
      <c r="B266" s="230" t="s">
        <v>30</v>
      </c>
      <c r="C266" s="244"/>
      <c r="D266" s="236"/>
      <c r="E266" s="231">
        <v>100</v>
      </c>
      <c r="F266" s="54">
        <f t="shared" ref="F266:F273" si="41">+F265+C266+D266-E266</f>
        <v>20323</v>
      </c>
      <c r="G266" s="241"/>
      <c r="H266" s="226"/>
      <c r="I266" s="62">
        <f t="shared" si="40"/>
        <v>0</v>
      </c>
      <c r="J266" s="295"/>
      <c r="K266" s="246"/>
      <c r="L266" s="67">
        <f t="shared" ref="L266:L273" si="42">+L265+J266-K266</f>
        <v>154443</v>
      </c>
    </row>
    <row r="267" spans="1:12" x14ac:dyDescent="0.3">
      <c r="A267" s="32">
        <v>46170</v>
      </c>
      <c r="B267" s="230" t="s">
        <v>17</v>
      </c>
      <c r="C267" s="244"/>
      <c r="D267" s="236"/>
      <c r="E267" s="231">
        <v>60</v>
      </c>
      <c r="F267" s="54">
        <f t="shared" si="41"/>
        <v>20263</v>
      </c>
      <c r="G267" s="241"/>
      <c r="H267" s="226"/>
      <c r="I267" s="62">
        <f t="shared" si="40"/>
        <v>0</v>
      </c>
      <c r="J267" s="264"/>
      <c r="K267" s="246"/>
      <c r="L267" s="67">
        <f t="shared" si="42"/>
        <v>154443</v>
      </c>
    </row>
    <row r="268" spans="1:12" x14ac:dyDescent="0.3">
      <c r="A268" s="32">
        <v>46170</v>
      </c>
      <c r="B268" s="230" t="s">
        <v>945</v>
      </c>
      <c r="C268" s="244"/>
      <c r="D268" s="237"/>
      <c r="E268" s="231">
        <v>360</v>
      </c>
      <c r="F268" s="54">
        <f t="shared" si="41"/>
        <v>19903</v>
      </c>
      <c r="G268" s="241"/>
      <c r="H268" s="280"/>
      <c r="I268" s="62">
        <f t="shared" si="40"/>
        <v>0</v>
      </c>
      <c r="J268" s="37"/>
      <c r="K268" s="246"/>
      <c r="L268" s="67">
        <f t="shared" si="42"/>
        <v>154443</v>
      </c>
    </row>
    <row r="269" spans="1:12" x14ac:dyDescent="0.3">
      <c r="A269" s="32">
        <v>46170</v>
      </c>
      <c r="B269" s="230" t="s">
        <v>946</v>
      </c>
      <c r="C269" s="267"/>
      <c r="D269" s="236"/>
      <c r="E269" s="231">
        <v>10</v>
      </c>
      <c r="F269" s="54">
        <f t="shared" si="41"/>
        <v>19893</v>
      </c>
      <c r="G269" s="240"/>
      <c r="H269" s="226"/>
      <c r="I269" s="62">
        <f t="shared" si="40"/>
        <v>0</v>
      </c>
      <c r="J269" s="37"/>
      <c r="K269" s="246"/>
      <c r="L269" s="67">
        <f t="shared" si="42"/>
        <v>154443</v>
      </c>
    </row>
    <row r="270" spans="1:12" x14ac:dyDescent="0.3">
      <c r="A270" s="32">
        <v>46170</v>
      </c>
      <c r="B270" s="230" t="s">
        <v>947</v>
      </c>
      <c r="C270" s="244"/>
      <c r="D270" s="237"/>
      <c r="E270" s="231">
        <v>40</v>
      </c>
      <c r="F270" s="54">
        <f t="shared" si="41"/>
        <v>19853</v>
      </c>
      <c r="G270" s="240"/>
      <c r="H270" s="226"/>
      <c r="I270" s="62">
        <f t="shared" si="40"/>
        <v>0</v>
      </c>
      <c r="J270" s="229"/>
      <c r="K270" s="246"/>
      <c r="L270" s="67">
        <f t="shared" si="42"/>
        <v>154443</v>
      </c>
    </row>
    <row r="271" spans="1:12" x14ac:dyDescent="0.3">
      <c r="A271" s="32">
        <v>46170</v>
      </c>
      <c r="B271" s="234" t="s">
        <v>33</v>
      </c>
      <c r="C271" s="267"/>
      <c r="D271" s="236">
        <v>9900</v>
      </c>
      <c r="E271" s="231"/>
      <c r="F271" s="54">
        <f t="shared" si="41"/>
        <v>29753</v>
      </c>
      <c r="G271" s="240"/>
      <c r="H271" s="228"/>
      <c r="I271" s="62">
        <f t="shared" si="40"/>
        <v>0</v>
      </c>
      <c r="J271" s="266"/>
      <c r="K271" s="246"/>
      <c r="L271" s="67">
        <f t="shared" si="42"/>
        <v>154443</v>
      </c>
    </row>
    <row r="272" spans="1:12" x14ac:dyDescent="0.3">
      <c r="A272" s="32">
        <v>46170</v>
      </c>
      <c r="B272" s="230" t="s">
        <v>948</v>
      </c>
      <c r="C272" s="244"/>
      <c r="D272" s="236"/>
      <c r="E272" s="231">
        <v>15</v>
      </c>
      <c r="F272" s="54">
        <f t="shared" si="41"/>
        <v>29738</v>
      </c>
      <c r="G272" s="241"/>
      <c r="H272" s="226"/>
      <c r="I272" s="62">
        <f t="shared" si="40"/>
        <v>0</v>
      </c>
      <c r="J272" s="130"/>
      <c r="K272" s="246"/>
      <c r="L272" s="67">
        <f t="shared" si="42"/>
        <v>154443</v>
      </c>
    </row>
    <row r="273" spans="1:12" x14ac:dyDescent="0.3">
      <c r="A273" s="32">
        <v>46170</v>
      </c>
      <c r="B273" s="232" t="s">
        <v>949</v>
      </c>
      <c r="C273" s="244">
        <v>180</v>
      </c>
      <c r="D273" s="236"/>
      <c r="E273" s="231"/>
      <c r="F273" s="54">
        <f t="shared" si="41"/>
        <v>29918</v>
      </c>
      <c r="G273" s="240"/>
      <c r="H273" s="226"/>
      <c r="I273" s="62">
        <f t="shared" si="40"/>
        <v>0</v>
      </c>
      <c r="J273" s="264">
        <v>6000</v>
      </c>
      <c r="K273" s="246"/>
      <c r="L273" s="67">
        <f t="shared" si="42"/>
        <v>160443</v>
      </c>
    </row>
    <row r="274" spans="1:12" x14ac:dyDescent="0.3">
      <c r="A274" s="32">
        <v>46171</v>
      </c>
      <c r="B274" s="234" t="s">
        <v>33</v>
      </c>
      <c r="C274" s="267"/>
      <c r="D274" s="236">
        <v>4000</v>
      </c>
      <c r="E274" s="231"/>
      <c r="F274" s="54">
        <f>+F273+C274+D274-E274</f>
        <v>33918</v>
      </c>
      <c r="G274" s="240"/>
      <c r="H274" s="226">
        <v>0</v>
      </c>
      <c r="I274" s="62">
        <f t="shared" si="40"/>
        <v>0</v>
      </c>
      <c r="J274" s="272"/>
      <c r="K274" s="246"/>
      <c r="L274" s="67">
        <f>+L273+J274-K274</f>
        <v>160443</v>
      </c>
    </row>
    <row r="275" spans="1:12" x14ac:dyDescent="0.3">
      <c r="A275" s="32">
        <v>46171</v>
      </c>
      <c r="B275" s="222" t="s">
        <v>75</v>
      </c>
      <c r="C275" s="244"/>
      <c r="D275" s="237">
        <v>7000</v>
      </c>
      <c r="E275" s="231"/>
      <c r="F275" s="54">
        <f t="shared" ref="F275:F292" si="43">+F274+C275+D275-E275</f>
        <v>40918</v>
      </c>
      <c r="G275" s="241"/>
      <c r="H275" s="226"/>
      <c r="I275" s="62">
        <f t="shared" si="40"/>
        <v>0</v>
      </c>
      <c r="J275" s="296"/>
      <c r="K275" s="246"/>
      <c r="L275" s="67">
        <f t="shared" ref="L275:L292" si="44">+L274+J275-K275</f>
        <v>160443</v>
      </c>
    </row>
    <row r="276" spans="1:12" x14ac:dyDescent="0.3">
      <c r="A276" s="32">
        <v>46171</v>
      </c>
      <c r="B276" s="222" t="s">
        <v>23</v>
      </c>
      <c r="C276" s="244"/>
      <c r="D276" s="236"/>
      <c r="E276" s="224">
        <v>32200</v>
      </c>
      <c r="F276" s="54">
        <f t="shared" si="43"/>
        <v>8718</v>
      </c>
      <c r="G276" s="241"/>
      <c r="H276" s="226"/>
      <c r="I276" s="62">
        <f t="shared" si="40"/>
        <v>0</v>
      </c>
      <c r="J276" s="296">
        <v>72772000</v>
      </c>
      <c r="K276" s="246"/>
      <c r="L276" s="67">
        <f t="shared" si="44"/>
        <v>72932443</v>
      </c>
    </row>
    <row r="277" spans="1:12" x14ac:dyDescent="0.3">
      <c r="A277" s="32">
        <v>46171</v>
      </c>
      <c r="B277" s="230" t="s">
        <v>950</v>
      </c>
      <c r="C277" s="244"/>
      <c r="D277" s="237"/>
      <c r="E277" s="231"/>
      <c r="F277" s="54">
        <f t="shared" si="43"/>
        <v>8718</v>
      </c>
      <c r="G277" s="241"/>
      <c r="H277" s="280"/>
      <c r="I277" s="62">
        <f t="shared" si="40"/>
        <v>0</v>
      </c>
      <c r="J277" s="37"/>
      <c r="K277" s="246">
        <v>26232269</v>
      </c>
      <c r="L277" s="67">
        <f t="shared" si="44"/>
        <v>46700174</v>
      </c>
    </row>
    <row r="278" spans="1:12" x14ac:dyDescent="0.3">
      <c r="A278" s="32">
        <v>46171</v>
      </c>
      <c r="B278" s="230" t="s">
        <v>951</v>
      </c>
      <c r="C278" s="267"/>
      <c r="D278" s="236"/>
      <c r="E278" s="231"/>
      <c r="F278" s="54">
        <f t="shared" si="43"/>
        <v>8718</v>
      </c>
      <c r="G278" s="240"/>
      <c r="H278" s="226"/>
      <c r="I278" s="62">
        <f t="shared" si="40"/>
        <v>0</v>
      </c>
      <c r="J278" s="37"/>
      <c r="K278" s="246">
        <v>24990915</v>
      </c>
      <c r="L278" s="67">
        <f t="shared" si="44"/>
        <v>21709259</v>
      </c>
    </row>
    <row r="279" spans="1:12" x14ac:dyDescent="0.3">
      <c r="A279" s="32">
        <v>46171</v>
      </c>
      <c r="B279" s="230" t="s">
        <v>829</v>
      </c>
      <c r="C279" s="244"/>
      <c r="D279" s="237"/>
      <c r="E279" s="231"/>
      <c r="F279" s="54">
        <f t="shared" si="43"/>
        <v>8718</v>
      </c>
      <c r="G279" s="240"/>
      <c r="H279" s="226"/>
      <c r="I279" s="62">
        <f t="shared" si="40"/>
        <v>0</v>
      </c>
      <c r="J279" s="229"/>
      <c r="K279" s="246">
        <v>20381223</v>
      </c>
      <c r="L279" s="67">
        <f t="shared" si="44"/>
        <v>1328036</v>
      </c>
    </row>
    <row r="280" spans="1:12" x14ac:dyDescent="0.3">
      <c r="A280" s="32">
        <v>46171</v>
      </c>
      <c r="B280" s="230" t="s">
        <v>952</v>
      </c>
      <c r="C280" s="267"/>
      <c r="D280" s="236"/>
      <c r="E280" s="231"/>
      <c r="F280" s="54">
        <f t="shared" si="43"/>
        <v>8718</v>
      </c>
      <c r="G280" s="240"/>
      <c r="H280" s="228"/>
      <c r="I280" s="62">
        <f t="shared" si="40"/>
        <v>0</v>
      </c>
      <c r="J280" s="266"/>
      <c r="K280" s="246">
        <v>407846</v>
      </c>
      <c r="L280" s="67">
        <f t="shared" si="44"/>
        <v>920190</v>
      </c>
    </row>
    <row r="281" spans="1:12" x14ac:dyDescent="0.3">
      <c r="A281" s="32">
        <v>46171</v>
      </c>
      <c r="B281" s="230" t="s">
        <v>953</v>
      </c>
      <c r="C281" s="244"/>
      <c r="D281" s="236"/>
      <c r="E281" s="231">
        <v>3750</v>
      </c>
      <c r="F281" s="54">
        <f t="shared" si="43"/>
        <v>4968</v>
      </c>
      <c r="G281" s="241"/>
      <c r="H281" s="226"/>
      <c r="I281" s="62">
        <f t="shared" si="40"/>
        <v>0</v>
      </c>
      <c r="J281" s="130"/>
      <c r="K281" s="246"/>
      <c r="L281" s="67">
        <f t="shared" si="44"/>
        <v>920190</v>
      </c>
    </row>
    <row r="282" spans="1:12" x14ac:dyDescent="0.3">
      <c r="A282" s="32">
        <v>46171</v>
      </c>
      <c r="B282" s="232" t="s">
        <v>954</v>
      </c>
      <c r="C282" s="244"/>
      <c r="D282" s="236"/>
      <c r="E282" s="231">
        <v>2250</v>
      </c>
      <c r="F282" s="54">
        <f t="shared" si="43"/>
        <v>2718</v>
      </c>
      <c r="G282" s="240"/>
      <c r="H282" s="226"/>
      <c r="I282" s="62">
        <f t="shared" si="40"/>
        <v>0</v>
      </c>
      <c r="J282" s="264"/>
      <c r="K282" s="246"/>
      <c r="L282" s="67">
        <f t="shared" si="44"/>
        <v>920190</v>
      </c>
    </row>
    <row r="283" spans="1:12" x14ac:dyDescent="0.3">
      <c r="A283" s="32">
        <v>46171</v>
      </c>
      <c r="B283" s="232" t="s">
        <v>955</v>
      </c>
      <c r="C283" s="244"/>
      <c r="D283" s="236"/>
      <c r="E283" s="231">
        <v>1040</v>
      </c>
      <c r="F283" s="54">
        <f t="shared" si="43"/>
        <v>1678</v>
      </c>
      <c r="G283" s="240"/>
      <c r="H283" s="226"/>
      <c r="I283" s="62">
        <f t="shared" si="40"/>
        <v>0</v>
      </c>
      <c r="J283" s="271"/>
      <c r="K283" s="246"/>
      <c r="L283" s="67">
        <f t="shared" si="44"/>
        <v>920190</v>
      </c>
    </row>
    <row r="284" spans="1:12" x14ac:dyDescent="0.3">
      <c r="A284" s="32">
        <v>46171</v>
      </c>
      <c r="B284" s="230" t="s">
        <v>956</v>
      </c>
      <c r="C284" s="244"/>
      <c r="D284" s="236"/>
      <c r="E284" s="231">
        <v>420</v>
      </c>
      <c r="F284" s="54">
        <f t="shared" si="43"/>
        <v>1258</v>
      </c>
      <c r="G284" s="240"/>
      <c r="H284" s="226"/>
      <c r="I284" s="62">
        <f t="shared" si="40"/>
        <v>0</v>
      </c>
      <c r="J284" s="248"/>
      <c r="K284" s="246"/>
      <c r="L284" s="67">
        <f t="shared" si="44"/>
        <v>920190</v>
      </c>
    </row>
    <row r="285" spans="1:12" x14ac:dyDescent="0.3">
      <c r="A285" s="32">
        <v>46171</v>
      </c>
      <c r="B285" s="230" t="s">
        <v>957</v>
      </c>
      <c r="C285" s="244"/>
      <c r="D285" s="236"/>
      <c r="E285" s="231">
        <v>450</v>
      </c>
      <c r="F285" s="54">
        <f t="shared" si="43"/>
        <v>808</v>
      </c>
      <c r="G285" s="240"/>
      <c r="H285" s="226"/>
      <c r="I285" s="62">
        <f t="shared" si="40"/>
        <v>0</v>
      </c>
      <c r="J285" s="130"/>
      <c r="K285" s="246"/>
      <c r="L285" s="67">
        <f t="shared" si="44"/>
        <v>920190</v>
      </c>
    </row>
    <row r="286" spans="1:12" x14ac:dyDescent="0.3">
      <c r="A286" s="32">
        <v>46171</v>
      </c>
      <c r="B286" s="230" t="s">
        <v>958</v>
      </c>
      <c r="C286" s="244"/>
      <c r="D286" s="236"/>
      <c r="E286" s="231"/>
      <c r="F286" s="54">
        <f t="shared" si="43"/>
        <v>808</v>
      </c>
      <c r="G286" s="241"/>
      <c r="H286" s="226"/>
      <c r="I286" s="62">
        <f t="shared" si="40"/>
        <v>0</v>
      </c>
      <c r="J286" s="271"/>
      <c r="K286" s="246">
        <v>50000</v>
      </c>
      <c r="L286" s="67">
        <f t="shared" si="44"/>
        <v>870190</v>
      </c>
    </row>
    <row r="287" spans="1:12" x14ac:dyDescent="0.3">
      <c r="A287" s="32">
        <v>46171</v>
      </c>
      <c r="B287" s="230" t="s">
        <v>959</v>
      </c>
      <c r="C287" s="244"/>
      <c r="D287" s="236"/>
      <c r="E287" s="231"/>
      <c r="F287" s="54">
        <f t="shared" si="43"/>
        <v>808</v>
      </c>
      <c r="G287" s="241"/>
      <c r="H287" s="226"/>
      <c r="I287" s="62">
        <f t="shared" si="40"/>
        <v>0</v>
      </c>
      <c r="J287" s="130"/>
      <c r="K287" s="246">
        <v>75000</v>
      </c>
      <c r="L287" s="67">
        <f t="shared" si="44"/>
        <v>795190</v>
      </c>
    </row>
    <row r="288" spans="1:12" x14ac:dyDescent="0.3">
      <c r="A288" s="32">
        <v>46171</v>
      </c>
      <c r="B288" s="230" t="s">
        <v>960</v>
      </c>
      <c r="C288" s="244"/>
      <c r="D288" s="236"/>
      <c r="E288" s="231"/>
      <c r="F288" s="54">
        <f t="shared" si="43"/>
        <v>808</v>
      </c>
      <c r="G288" s="242"/>
      <c r="H288" s="227"/>
      <c r="I288" s="62">
        <f t="shared" si="40"/>
        <v>0</v>
      </c>
      <c r="J288" s="271"/>
      <c r="K288" s="246">
        <v>554000</v>
      </c>
      <c r="L288" s="67">
        <f t="shared" si="44"/>
        <v>241190</v>
      </c>
    </row>
    <row r="289" spans="1:12" x14ac:dyDescent="0.3">
      <c r="A289" s="32">
        <v>46171</v>
      </c>
      <c r="B289" s="230" t="s">
        <v>961</v>
      </c>
      <c r="C289" s="244"/>
      <c r="D289" s="236"/>
      <c r="E289" s="231"/>
      <c r="F289" s="54">
        <f t="shared" si="43"/>
        <v>808</v>
      </c>
      <c r="G289" s="243"/>
      <c r="H289" s="227"/>
      <c r="I289" s="62">
        <f t="shared" si="40"/>
        <v>0</v>
      </c>
      <c r="J289" s="233"/>
      <c r="K289" s="246">
        <v>100000</v>
      </c>
      <c r="L289" s="67">
        <f t="shared" si="44"/>
        <v>141190</v>
      </c>
    </row>
    <row r="290" spans="1:12" x14ac:dyDescent="0.3">
      <c r="A290" s="32">
        <v>46171</v>
      </c>
      <c r="B290" s="230" t="s">
        <v>962</v>
      </c>
      <c r="C290" s="267"/>
      <c r="D290" s="236"/>
      <c r="E290" s="231">
        <v>200</v>
      </c>
      <c r="F290" s="54">
        <f t="shared" si="43"/>
        <v>608</v>
      </c>
      <c r="G290" s="223"/>
      <c r="H290" s="221"/>
      <c r="I290" s="62">
        <f t="shared" si="40"/>
        <v>0</v>
      </c>
      <c r="J290" s="271"/>
      <c r="K290" s="246"/>
      <c r="L290" s="67">
        <f t="shared" si="44"/>
        <v>141190</v>
      </c>
    </row>
    <row r="291" spans="1:12" x14ac:dyDescent="0.3">
      <c r="A291" s="32">
        <v>46171</v>
      </c>
      <c r="B291" s="230" t="s">
        <v>963</v>
      </c>
      <c r="C291" s="267"/>
      <c r="D291" s="236"/>
      <c r="E291" s="231"/>
      <c r="F291" s="54">
        <f t="shared" si="43"/>
        <v>608</v>
      </c>
      <c r="G291" s="223"/>
      <c r="H291" s="227"/>
      <c r="I291" s="62">
        <f t="shared" si="40"/>
        <v>0</v>
      </c>
      <c r="J291" s="264"/>
      <c r="K291" s="246">
        <v>30000</v>
      </c>
      <c r="L291" s="67">
        <f t="shared" si="44"/>
        <v>111190</v>
      </c>
    </row>
    <row r="292" spans="1:12" x14ac:dyDescent="0.3">
      <c r="A292" s="32">
        <v>46171</v>
      </c>
      <c r="B292" s="230" t="s">
        <v>825</v>
      </c>
      <c r="C292" s="244"/>
      <c r="D292" s="236"/>
      <c r="E292" s="231">
        <v>70</v>
      </c>
      <c r="F292" s="54">
        <f t="shared" si="43"/>
        <v>538</v>
      </c>
      <c r="G292" s="223"/>
      <c r="H292" s="227"/>
      <c r="I292" s="62">
        <f t="shared" si="40"/>
        <v>0</v>
      </c>
      <c r="J292" s="264"/>
      <c r="K292" s="246"/>
      <c r="L292" s="67">
        <f t="shared" si="44"/>
        <v>111190</v>
      </c>
    </row>
    <row r="293" spans="1:12" x14ac:dyDescent="0.3">
      <c r="A293" s="32">
        <v>46172</v>
      </c>
      <c r="B293" s="232" t="s">
        <v>964</v>
      </c>
      <c r="C293" s="244">
        <v>550</v>
      </c>
      <c r="D293" s="236"/>
      <c r="E293" s="231"/>
      <c r="F293" s="54">
        <f>+F292+C293+D293-E293</f>
        <v>1088</v>
      </c>
      <c r="G293" s="240"/>
      <c r="H293" s="226">
        <v>0</v>
      </c>
      <c r="I293" s="62">
        <f t="shared" si="40"/>
        <v>0</v>
      </c>
      <c r="J293" s="272">
        <v>3000</v>
      </c>
      <c r="K293" s="246"/>
      <c r="L293" s="67">
        <f>+L292+J293-K293</f>
        <v>114190</v>
      </c>
    </row>
    <row r="294" spans="1:12" x14ac:dyDescent="0.3">
      <c r="A294" s="32">
        <v>46172</v>
      </c>
      <c r="B294" s="222" t="s">
        <v>23</v>
      </c>
      <c r="C294" s="244"/>
      <c r="D294" s="237"/>
      <c r="E294" s="231">
        <v>50</v>
      </c>
      <c r="F294" s="54">
        <f t="shared" ref="F294:F297" si="45">+F293+C294+D294-E294</f>
        <v>1038</v>
      </c>
      <c r="G294" s="241"/>
      <c r="H294" s="226"/>
      <c r="I294" s="62">
        <f t="shared" si="40"/>
        <v>0</v>
      </c>
      <c r="J294" s="296">
        <v>112500</v>
      </c>
      <c r="K294" s="246"/>
      <c r="L294" s="67">
        <f t="shared" ref="L294:L297" si="46">+L293+J294-K294</f>
        <v>226690</v>
      </c>
    </row>
    <row r="295" spans="1:12" x14ac:dyDescent="0.3">
      <c r="A295" s="32">
        <v>46172</v>
      </c>
      <c r="B295" s="230" t="s">
        <v>965</v>
      </c>
      <c r="C295" s="244"/>
      <c r="D295" s="236"/>
      <c r="E295" s="231">
        <v>50</v>
      </c>
      <c r="F295" s="54">
        <f t="shared" si="45"/>
        <v>988</v>
      </c>
      <c r="G295" s="241"/>
      <c r="H295" s="226"/>
      <c r="I295" s="62">
        <f t="shared" si="40"/>
        <v>0</v>
      </c>
      <c r="J295" s="296"/>
      <c r="K295" s="246"/>
      <c r="L295" s="67">
        <f t="shared" si="46"/>
        <v>226690</v>
      </c>
    </row>
    <row r="296" spans="1:12" x14ac:dyDescent="0.3">
      <c r="A296" s="32">
        <v>46172</v>
      </c>
      <c r="B296" s="230" t="s">
        <v>966</v>
      </c>
      <c r="C296" s="244"/>
      <c r="D296" s="237"/>
      <c r="E296" s="231"/>
      <c r="F296" s="54">
        <f t="shared" si="45"/>
        <v>988</v>
      </c>
      <c r="G296" s="241"/>
      <c r="H296" s="280"/>
      <c r="I296" s="62">
        <f t="shared" si="40"/>
        <v>0</v>
      </c>
      <c r="J296" s="37"/>
      <c r="K296" s="246">
        <v>20000</v>
      </c>
      <c r="L296" s="67">
        <f t="shared" si="46"/>
        <v>206690</v>
      </c>
    </row>
    <row r="297" spans="1:12" x14ac:dyDescent="0.3">
      <c r="A297" s="32">
        <v>46172</v>
      </c>
      <c r="B297" s="230" t="s">
        <v>967</v>
      </c>
      <c r="C297" s="267"/>
      <c r="D297" s="236"/>
      <c r="E297" s="231">
        <v>6</v>
      </c>
      <c r="F297" s="54">
        <f t="shared" si="45"/>
        <v>982</v>
      </c>
      <c r="G297" s="240"/>
      <c r="H297" s="226"/>
      <c r="I297" s="62">
        <f t="shared" si="40"/>
        <v>0</v>
      </c>
      <c r="J297" s="37"/>
      <c r="K297" s="246"/>
      <c r="L297" s="67">
        <f t="shared" si="46"/>
        <v>206690</v>
      </c>
    </row>
    <row r="298" spans="1:12" x14ac:dyDescent="0.3">
      <c r="A298" s="32"/>
      <c r="B298" s="222"/>
      <c r="C298" s="112"/>
      <c r="D298" s="235"/>
      <c r="E298" s="231"/>
      <c r="F298" s="54">
        <f t="shared" ref="F298:F302" si="47">+F297+C298+D298-E298</f>
        <v>982</v>
      </c>
      <c r="G298" s="240"/>
      <c r="H298" s="226"/>
      <c r="I298" s="62">
        <f t="shared" ref="I298:I302" si="48">I297++G298-H298</f>
        <v>0</v>
      </c>
      <c r="J298" s="229"/>
      <c r="K298" s="246"/>
      <c r="L298" s="67">
        <f t="shared" ref="L298:L302" si="49">L297++J298-K298</f>
        <v>206690</v>
      </c>
    </row>
    <row r="299" spans="1:12" x14ac:dyDescent="0.3">
      <c r="A299" s="32"/>
      <c r="B299" s="230"/>
      <c r="C299" s="245"/>
      <c r="D299" s="235"/>
      <c r="E299" s="231"/>
      <c r="F299" s="54">
        <f t="shared" si="47"/>
        <v>982</v>
      </c>
      <c r="G299" s="240"/>
      <c r="H299" s="226"/>
      <c r="I299" s="62">
        <f t="shared" si="48"/>
        <v>0</v>
      </c>
      <c r="J299" s="229"/>
      <c r="K299" s="246"/>
      <c r="L299" s="67">
        <f t="shared" si="49"/>
        <v>206690</v>
      </c>
    </row>
    <row r="300" spans="1:12" x14ac:dyDescent="0.3">
      <c r="A300" s="32"/>
      <c r="B300" s="230"/>
      <c r="C300" s="245"/>
      <c r="D300" s="235"/>
      <c r="E300" s="231"/>
      <c r="F300" s="54">
        <f t="shared" si="47"/>
        <v>982</v>
      </c>
      <c r="G300" s="242"/>
      <c r="H300" s="226"/>
      <c r="I300" s="62">
        <f t="shared" si="48"/>
        <v>0</v>
      </c>
      <c r="J300" s="233"/>
      <c r="K300" s="246"/>
      <c r="L300" s="67">
        <f t="shared" si="49"/>
        <v>206690</v>
      </c>
    </row>
    <row r="301" spans="1:12" x14ac:dyDescent="0.3">
      <c r="A301" s="32"/>
      <c r="B301" s="232"/>
      <c r="C301" s="244"/>
      <c r="D301" s="236"/>
      <c r="E301" s="231"/>
      <c r="F301" s="54">
        <f t="shared" si="47"/>
        <v>982</v>
      </c>
      <c r="G301" s="242"/>
      <c r="H301" s="227"/>
      <c r="I301" s="62">
        <f t="shared" si="48"/>
        <v>0</v>
      </c>
      <c r="J301" s="233"/>
      <c r="K301" s="246"/>
      <c r="L301" s="67">
        <f t="shared" si="49"/>
        <v>206690</v>
      </c>
    </row>
    <row r="302" spans="1:12" x14ac:dyDescent="0.3">
      <c r="A302" s="32"/>
      <c r="B302" s="230"/>
      <c r="C302" s="245"/>
      <c r="D302" s="236"/>
      <c r="E302" s="231"/>
      <c r="F302" s="54">
        <f t="shared" si="47"/>
        <v>982</v>
      </c>
      <c r="G302" s="243"/>
      <c r="H302" s="227"/>
      <c r="I302" s="62">
        <f t="shared" si="48"/>
        <v>0</v>
      </c>
      <c r="J302" s="264"/>
      <c r="K302" s="246"/>
      <c r="L302" s="67">
        <f t="shared" si="49"/>
        <v>206690</v>
      </c>
    </row>
    <row r="303" spans="1:12" x14ac:dyDescent="0.3">
      <c r="A303" s="32"/>
      <c r="B303" s="230"/>
      <c r="C303" s="245"/>
      <c r="D303" s="236"/>
      <c r="E303" s="231"/>
      <c r="F303" s="54">
        <f>+F302+C303+D303-E303</f>
        <v>982</v>
      </c>
      <c r="G303" s="240"/>
      <c r="H303" s="226">
        <v>0</v>
      </c>
      <c r="I303" s="62">
        <f>I302++G303-H303</f>
        <v>0</v>
      </c>
      <c r="J303" s="233"/>
      <c r="K303" s="246"/>
      <c r="L303" s="67">
        <f>L302++J303-K303</f>
        <v>206690</v>
      </c>
    </row>
    <row r="304" spans="1:12" x14ac:dyDescent="0.3">
      <c r="A304" s="32"/>
      <c r="B304" s="230"/>
      <c r="C304" s="245"/>
      <c r="D304" s="235"/>
      <c r="E304" s="235"/>
      <c r="F304" s="54">
        <f t="shared" ref="F304:F317" si="50">+F303+C304+D304-E304</f>
        <v>982</v>
      </c>
      <c r="G304" s="241"/>
      <c r="H304" s="226"/>
      <c r="I304" s="62">
        <f t="shared" ref="I304:I317" si="51">I303++G304-H304</f>
        <v>0</v>
      </c>
      <c r="J304" s="233"/>
      <c r="K304" s="246"/>
      <c r="L304" s="67">
        <f t="shared" ref="L304:L342" si="52">L303++J304-K304</f>
        <v>206690</v>
      </c>
    </row>
    <row r="305" spans="1:12" x14ac:dyDescent="0.3">
      <c r="A305" s="32"/>
      <c r="B305" s="230"/>
      <c r="C305" s="112"/>
      <c r="D305" s="235"/>
      <c r="E305" s="235"/>
      <c r="F305" s="54">
        <f t="shared" si="50"/>
        <v>982</v>
      </c>
      <c r="G305" s="240"/>
      <c r="H305" s="228"/>
      <c r="I305" s="62">
        <f t="shared" si="51"/>
        <v>0</v>
      </c>
      <c r="J305" s="247"/>
      <c r="K305" s="246"/>
      <c r="L305" s="67">
        <f t="shared" si="52"/>
        <v>206690</v>
      </c>
    </row>
    <row r="306" spans="1:12" x14ac:dyDescent="0.3">
      <c r="A306" s="32"/>
      <c r="B306" s="230"/>
      <c r="C306" s="245"/>
      <c r="D306" s="235"/>
      <c r="E306" s="235"/>
      <c r="F306" s="54">
        <f t="shared" si="50"/>
        <v>982</v>
      </c>
      <c r="G306" s="240"/>
      <c r="H306" s="226"/>
      <c r="I306" s="62">
        <f t="shared" si="51"/>
        <v>0</v>
      </c>
      <c r="J306" s="233"/>
      <c r="K306" s="246"/>
      <c r="L306" s="67">
        <f t="shared" si="52"/>
        <v>206690</v>
      </c>
    </row>
    <row r="307" spans="1:12" x14ac:dyDescent="0.3">
      <c r="A307" s="32"/>
      <c r="B307" s="234"/>
      <c r="C307" s="245"/>
      <c r="D307" s="236"/>
      <c r="E307" s="231"/>
      <c r="F307" s="54">
        <f t="shared" si="50"/>
        <v>982</v>
      </c>
      <c r="G307" s="240"/>
      <c r="H307" s="226"/>
      <c r="I307" s="62">
        <f t="shared" si="51"/>
        <v>0</v>
      </c>
      <c r="J307" s="247"/>
      <c r="K307" s="246"/>
      <c r="L307" s="67">
        <f t="shared" si="52"/>
        <v>206690</v>
      </c>
    </row>
    <row r="308" spans="1:12" x14ac:dyDescent="0.3">
      <c r="A308" s="32"/>
      <c r="B308" s="230"/>
      <c r="C308" s="112"/>
      <c r="D308" s="235"/>
      <c r="E308" s="231"/>
      <c r="F308" s="54">
        <f t="shared" si="50"/>
        <v>982</v>
      </c>
      <c r="G308" s="240"/>
      <c r="H308" s="226"/>
      <c r="I308" s="62">
        <f t="shared" si="51"/>
        <v>0</v>
      </c>
      <c r="J308" s="229"/>
      <c r="K308" s="246"/>
      <c r="L308" s="67">
        <f t="shared" si="52"/>
        <v>206690</v>
      </c>
    </row>
    <row r="309" spans="1:12" x14ac:dyDescent="0.3">
      <c r="A309" s="32"/>
      <c r="B309" s="230"/>
      <c r="C309" s="112"/>
      <c r="D309" s="235"/>
      <c r="E309" s="231"/>
      <c r="F309" s="54">
        <f t="shared" si="50"/>
        <v>982</v>
      </c>
      <c r="G309" s="240"/>
      <c r="H309" s="228"/>
      <c r="I309" s="62">
        <f t="shared" si="51"/>
        <v>0</v>
      </c>
      <c r="J309" s="229"/>
      <c r="K309" s="246"/>
      <c r="L309" s="67">
        <f t="shared" si="52"/>
        <v>206690</v>
      </c>
    </row>
    <row r="310" spans="1:12" x14ac:dyDescent="0.3">
      <c r="A310" s="32"/>
      <c r="B310" s="230"/>
      <c r="C310" s="245"/>
      <c r="D310" s="236"/>
      <c r="E310" s="231"/>
      <c r="F310" s="54">
        <f t="shared" si="50"/>
        <v>982</v>
      </c>
      <c r="G310" s="241"/>
      <c r="H310" s="226"/>
      <c r="I310" s="62">
        <f t="shared" si="51"/>
        <v>0</v>
      </c>
      <c r="J310" s="248"/>
      <c r="K310" s="246"/>
      <c r="L310" s="67">
        <f t="shared" si="52"/>
        <v>206690</v>
      </c>
    </row>
    <row r="311" spans="1:12" x14ac:dyDescent="0.3">
      <c r="A311" s="32"/>
      <c r="B311" s="230"/>
      <c r="C311" s="112"/>
      <c r="D311" s="235"/>
      <c r="E311" s="231"/>
      <c r="F311" s="54">
        <f t="shared" si="50"/>
        <v>982</v>
      </c>
      <c r="G311" s="240"/>
      <c r="H311" s="226"/>
      <c r="I311" s="62">
        <f t="shared" si="51"/>
        <v>0</v>
      </c>
      <c r="J311" s="248"/>
      <c r="K311" s="246"/>
      <c r="L311" s="67">
        <f t="shared" si="52"/>
        <v>206690</v>
      </c>
    </row>
    <row r="312" spans="1:12" x14ac:dyDescent="0.3">
      <c r="A312" s="32"/>
      <c r="B312" s="230"/>
      <c r="C312" s="244"/>
      <c r="D312" s="236"/>
      <c r="E312" s="231"/>
      <c r="F312" s="54">
        <f t="shared" si="50"/>
        <v>982</v>
      </c>
      <c r="G312" s="240"/>
      <c r="H312" s="226"/>
      <c r="I312" s="62">
        <f t="shared" si="51"/>
        <v>0</v>
      </c>
      <c r="J312" s="248"/>
      <c r="K312" s="246"/>
      <c r="L312" s="67">
        <f t="shared" si="52"/>
        <v>206690</v>
      </c>
    </row>
    <row r="313" spans="1:12" x14ac:dyDescent="0.3">
      <c r="A313" s="32"/>
      <c r="B313" s="230"/>
      <c r="C313" s="245"/>
      <c r="D313" s="236"/>
      <c r="E313" s="231"/>
      <c r="F313" s="54">
        <f t="shared" si="50"/>
        <v>982</v>
      </c>
      <c r="G313" s="240"/>
      <c r="H313" s="226"/>
      <c r="I313" s="62">
        <f t="shared" si="51"/>
        <v>0</v>
      </c>
      <c r="J313" s="247"/>
      <c r="K313" s="246"/>
      <c r="L313" s="67">
        <f t="shared" si="52"/>
        <v>206690</v>
      </c>
    </row>
    <row r="314" spans="1:12" x14ac:dyDescent="0.3">
      <c r="A314" s="32"/>
      <c r="B314" s="230"/>
      <c r="C314" s="112"/>
      <c r="D314" s="235"/>
      <c r="E314" s="231"/>
      <c r="F314" s="54">
        <f t="shared" si="50"/>
        <v>982</v>
      </c>
      <c r="G314" s="240"/>
      <c r="H314" s="226"/>
      <c r="I314" s="62">
        <f t="shared" si="51"/>
        <v>0</v>
      </c>
      <c r="J314" s="229"/>
      <c r="K314" s="246"/>
      <c r="L314" s="67">
        <f t="shared" si="52"/>
        <v>206690</v>
      </c>
    </row>
    <row r="315" spans="1:12" x14ac:dyDescent="0.3">
      <c r="A315" s="32"/>
      <c r="B315" s="232"/>
      <c r="C315" s="245"/>
      <c r="D315" s="235"/>
      <c r="E315" s="231"/>
      <c r="F315" s="54">
        <f t="shared" si="50"/>
        <v>982</v>
      </c>
      <c r="G315" s="240"/>
      <c r="H315" s="226"/>
      <c r="I315" s="62">
        <f t="shared" si="51"/>
        <v>0</v>
      </c>
      <c r="J315" s="229"/>
      <c r="K315" s="246"/>
      <c r="L315" s="67">
        <f t="shared" si="52"/>
        <v>206690</v>
      </c>
    </row>
    <row r="316" spans="1:12" x14ac:dyDescent="0.3">
      <c r="A316" s="32"/>
      <c r="B316" s="232"/>
      <c r="C316" s="244"/>
      <c r="D316" s="235"/>
      <c r="E316" s="231"/>
      <c r="F316" s="54">
        <f t="shared" si="50"/>
        <v>982</v>
      </c>
      <c r="G316" s="242"/>
      <c r="H316" s="226"/>
      <c r="I316" s="62">
        <f t="shared" si="51"/>
        <v>0</v>
      </c>
      <c r="J316" s="233"/>
      <c r="K316" s="246"/>
      <c r="L316" s="67">
        <f t="shared" si="52"/>
        <v>206690</v>
      </c>
    </row>
    <row r="317" spans="1:12" x14ac:dyDescent="0.3">
      <c r="A317" s="32"/>
      <c r="B317" s="232"/>
      <c r="C317" s="244"/>
      <c r="D317" s="236"/>
      <c r="E317" s="231"/>
      <c r="F317" s="54">
        <f t="shared" si="50"/>
        <v>982</v>
      </c>
      <c r="G317" s="242"/>
      <c r="H317" s="227"/>
      <c r="I317" s="62">
        <f t="shared" si="51"/>
        <v>0</v>
      </c>
      <c r="J317" s="233"/>
      <c r="K317" s="246"/>
      <c r="L317" s="67">
        <f t="shared" si="52"/>
        <v>206690</v>
      </c>
    </row>
    <row r="318" spans="1:12" x14ac:dyDescent="0.3">
      <c r="A318" s="32"/>
      <c r="B318" s="230"/>
      <c r="C318" s="245"/>
      <c r="D318" s="236"/>
      <c r="E318" s="231"/>
      <c r="F318" s="54">
        <f>+F317+C318+D318-E318</f>
        <v>982</v>
      </c>
      <c r="G318" s="240"/>
      <c r="H318" s="226">
        <v>0</v>
      </c>
      <c r="I318" s="62">
        <f>I317++G318-H318</f>
        <v>0</v>
      </c>
      <c r="J318" s="233"/>
      <c r="K318" s="246"/>
      <c r="L318" s="67">
        <f t="shared" si="52"/>
        <v>206690</v>
      </c>
    </row>
    <row r="319" spans="1:12" x14ac:dyDescent="0.3">
      <c r="A319" s="32"/>
      <c r="B319" s="230"/>
      <c r="C319" s="245"/>
      <c r="D319" s="235"/>
      <c r="E319" s="235"/>
      <c r="F319" s="54">
        <f t="shared" ref="F319:F342" si="53">+F318+C319+D319-E319</f>
        <v>982</v>
      </c>
      <c r="G319" s="241"/>
      <c r="H319" s="226"/>
      <c r="I319" s="62">
        <f t="shared" ref="I319:I365" si="54">I318++G319-H319</f>
        <v>0</v>
      </c>
      <c r="J319" s="233"/>
      <c r="K319" s="246"/>
      <c r="L319" s="67">
        <f t="shared" si="52"/>
        <v>206690</v>
      </c>
    </row>
    <row r="320" spans="1:12" x14ac:dyDescent="0.3">
      <c r="A320" s="32"/>
      <c r="B320" s="230"/>
      <c r="C320" s="112"/>
      <c r="D320" s="235"/>
      <c r="E320" s="235"/>
      <c r="F320" s="54">
        <f t="shared" si="53"/>
        <v>982</v>
      </c>
      <c r="G320" s="240"/>
      <c r="H320" s="228"/>
      <c r="I320" s="62">
        <f t="shared" si="54"/>
        <v>0</v>
      </c>
      <c r="J320" s="247"/>
      <c r="K320" s="246"/>
      <c r="L320" s="67">
        <f t="shared" si="52"/>
        <v>206690</v>
      </c>
    </row>
    <row r="321" spans="1:12" x14ac:dyDescent="0.3">
      <c r="A321" s="32"/>
      <c r="B321" s="230"/>
      <c r="C321" s="245"/>
      <c r="D321" s="236"/>
      <c r="E321" s="231"/>
      <c r="F321" s="54">
        <f t="shared" si="53"/>
        <v>982</v>
      </c>
      <c r="G321" s="240"/>
      <c r="H321" s="226"/>
      <c r="I321" s="62">
        <f t="shared" si="54"/>
        <v>0</v>
      </c>
      <c r="J321" s="233"/>
      <c r="K321" s="246"/>
      <c r="L321" s="67">
        <f t="shared" si="52"/>
        <v>206690</v>
      </c>
    </row>
    <row r="322" spans="1:12" x14ac:dyDescent="0.3">
      <c r="A322" s="32"/>
      <c r="B322" s="232"/>
      <c r="C322" s="244"/>
      <c r="D322" s="236"/>
      <c r="E322" s="231"/>
      <c r="F322" s="54">
        <f t="shared" si="53"/>
        <v>982</v>
      </c>
      <c r="G322" s="240"/>
      <c r="H322" s="226"/>
      <c r="I322" s="62">
        <f t="shared" si="54"/>
        <v>0</v>
      </c>
      <c r="J322" s="247"/>
      <c r="K322" s="246"/>
      <c r="L322" s="67">
        <f t="shared" si="52"/>
        <v>206690</v>
      </c>
    </row>
    <row r="323" spans="1:12" x14ac:dyDescent="0.3">
      <c r="A323" s="32"/>
      <c r="B323" s="234"/>
      <c r="C323" s="112"/>
      <c r="D323" s="235"/>
      <c r="E323" s="231"/>
      <c r="F323" s="54">
        <f t="shared" si="53"/>
        <v>982</v>
      </c>
      <c r="G323" s="240"/>
      <c r="H323" s="226"/>
      <c r="I323" s="62">
        <f t="shared" si="54"/>
        <v>0</v>
      </c>
      <c r="J323" s="229"/>
      <c r="K323" s="246"/>
      <c r="L323" s="67">
        <f t="shared" si="52"/>
        <v>206690</v>
      </c>
    </row>
    <row r="324" spans="1:12" x14ac:dyDescent="0.3">
      <c r="A324" s="32"/>
      <c r="B324" s="230"/>
      <c r="C324" s="112"/>
      <c r="D324" s="235"/>
      <c r="E324" s="231"/>
      <c r="F324" s="54">
        <f t="shared" si="53"/>
        <v>982</v>
      </c>
      <c r="G324" s="240"/>
      <c r="H324" s="228"/>
      <c r="I324" s="62">
        <f t="shared" si="54"/>
        <v>0</v>
      </c>
      <c r="J324" s="229"/>
      <c r="K324" s="246"/>
      <c r="L324" s="67">
        <f t="shared" si="52"/>
        <v>206690</v>
      </c>
    </row>
    <row r="325" spans="1:12" x14ac:dyDescent="0.3">
      <c r="A325" s="32"/>
      <c r="B325" s="234"/>
      <c r="C325" s="245"/>
      <c r="D325" s="236"/>
      <c r="E325" s="39"/>
      <c r="F325" s="54">
        <f t="shared" si="53"/>
        <v>982</v>
      </c>
      <c r="G325" s="241"/>
      <c r="H325" s="226"/>
      <c r="I325" s="62">
        <f t="shared" si="54"/>
        <v>0</v>
      </c>
      <c r="J325" s="248"/>
      <c r="K325" s="246"/>
      <c r="L325" s="67">
        <f t="shared" si="52"/>
        <v>206690</v>
      </c>
    </row>
    <row r="326" spans="1:12" x14ac:dyDescent="0.3">
      <c r="A326" s="32"/>
      <c r="B326" s="230"/>
      <c r="C326" s="112"/>
      <c r="D326" s="235"/>
      <c r="E326" s="231"/>
      <c r="F326" s="54">
        <f t="shared" si="53"/>
        <v>982</v>
      </c>
      <c r="G326" s="240"/>
      <c r="H326" s="226"/>
      <c r="I326" s="62">
        <f t="shared" si="54"/>
        <v>0</v>
      </c>
      <c r="J326" s="248"/>
      <c r="K326" s="246"/>
      <c r="L326" s="67">
        <f t="shared" si="52"/>
        <v>206690</v>
      </c>
    </row>
    <row r="327" spans="1:12" x14ac:dyDescent="0.3">
      <c r="A327" s="32"/>
      <c r="B327" s="230"/>
      <c r="C327" s="244"/>
      <c r="D327" s="236"/>
      <c r="E327" s="231"/>
      <c r="F327" s="54">
        <f t="shared" si="53"/>
        <v>982</v>
      </c>
      <c r="G327" s="240"/>
      <c r="H327" s="226"/>
      <c r="I327" s="62">
        <f t="shared" si="54"/>
        <v>0</v>
      </c>
      <c r="J327" s="248"/>
      <c r="K327" s="246"/>
      <c r="L327" s="67">
        <f t="shared" si="52"/>
        <v>206690</v>
      </c>
    </row>
    <row r="328" spans="1:12" x14ac:dyDescent="0.3">
      <c r="A328" s="32"/>
      <c r="B328" s="222"/>
      <c r="C328" s="245"/>
      <c r="D328" s="236"/>
      <c r="E328" s="231"/>
      <c r="F328" s="54">
        <f t="shared" si="53"/>
        <v>982</v>
      </c>
      <c r="G328" s="240"/>
      <c r="H328" s="226"/>
      <c r="I328" s="62">
        <f t="shared" si="54"/>
        <v>0</v>
      </c>
      <c r="J328" s="247"/>
      <c r="K328" s="246"/>
      <c r="L328" s="67">
        <f t="shared" si="52"/>
        <v>206690</v>
      </c>
    </row>
    <row r="329" spans="1:12" x14ac:dyDescent="0.3">
      <c r="A329" s="32"/>
      <c r="B329" s="230"/>
      <c r="C329" s="112"/>
      <c r="D329" s="235"/>
      <c r="E329" s="231"/>
      <c r="F329" s="54">
        <f t="shared" si="53"/>
        <v>982</v>
      </c>
      <c r="G329" s="240"/>
      <c r="H329" s="226"/>
      <c r="I329" s="62">
        <f t="shared" si="54"/>
        <v>0</v>
      </c>
      <c r="J329" s="229"/>
      <c r="K329" s="246"/>
      <c r="L329" s="67">
        <f t="shared" si="52"/>
        <v>206690</v>
      </c>
    </row>
    <row r="330" spans="1:12" x14ac:dyDescent="0.3">
      <c r="A330" s="32"/>
      <c r="B330" s="230"/>
      <c r="C330" s="245"/>
      <c r="D330" s="235"/>
      <c r="E330" s="231"/>
      <c r="F330" s="54">
        <f t="shared" si="53"/>
        <v>982</v>
      </c>
      <c r="G330" s="240"/>
      <c r="H330" s="226"/>
      <c r="I330" s="62">
        <f t="shared" si="54"/>
        <v>0</v>
      </c>
      <c r="J330" s="229"/>
      <c r="K330" s="246"/>
      <c r="L330" s="67">
        <f t="shared" si="52"/>
        <v>206690</v>
      </c>
    </row>
    <row r="331" spans="1:12" x14ac:dyDescent="0.3">
      <c r="A331" s="32"/>
      <c r="B331" s="230"/>
      <c r="C331" s="244"/>
      <c r="D331" s="235"/>
      <c r="E331" s="231"/>
      <c r="F331" s="54">
        <f t="shared" si="53"/>
        <v>982</v>
      </c>
      <c r="G331" s="242"/>
      <c r="H331" s="226"/>
      <c r="I331" s="62">
        <f t="shared" si="54"/>
        <v>0</v>
      </c>
      <c r="J331" s="233"/>
      <c r="K331" s="246"/>
      <c r="L331" s="67">
        <f t="shared" si="52"/>
        <v>206690</v>
      </c>
    </row>
    <row r="332" spans="1:12" x14ac:dyDescent="0.3">
      <c r="A332" s="32"/>
      <c r="B332" s="230"/>
      <c r="C332" s="244"/>
      <c r="D332" s="236"/>
      <c r="E332" s="231"/>
      <c r="F332" s="54">
        <f t="shared" si="53"/>
        <v>982</v>
      </c>
      <c r="G332" s="242"/>
      <c r="H332" s="227"/>
      <c r="I332" s="62">
        <f t="shared" si="54"/>
        <v>0</v>
      </c>
      <c r="J332" s="233"/>
      <c r="K332" s="246"/>
      <c r="L332" s="67">
        <f t="shared" si="52"/>
        <v>206690</v>
      </c>
    </row>
    <row r="333" spans="1:12" x14ac:dyDescent="0.3">
      <c r="A333" s="32"/>
      <c r="B333" s="230"/>
      <c r="C333" s="245"/>
      <c r="D333" s="236"/>
      <c r="E333" s="231"/>
      <c r="F333" s="54">
        <f t="shared" si="53"/>
        <v>982</v>
      </c>
      <c r="G333" s="243"/>
      <c r="H333" s="227"/>
      <c r="I333" s="62">
        <f t="shared" si="54"/>
        <v>0</v>
      </c>
      <c r="J333" s="264"/>
      <c r="K333" s="246"/>
      <c r="L333" s="67">
        <f t="shared" si="52"/>
        <v>206690</v>
      </c>
    </row>
    <row r="334" spans="1:12" x14ac:dyDescent="0.3">
      <c r="A334" s="32"/>
      <c r="B334" s="230"/>
      <c r="C334" s="245"/>
      <c r="D334" s="235"/>
      <c r="E334" s="231"/>
      <c r="F334" s="54">
        <f t="shared" si="53"/>
        <v>982</v>
      </c>
      <c r="G334" s="223"/>
      <c r="H334" s="221"/>
      <c r="I334" s="62">
        <f t="shared" si="54"/>
        <v>0</v>
      </c>
      <c r="J334" s="229"/>
      <c r="K334" s="246"/>
      <c r="L334" s="67">
        <f t="shared" si="52"/>
        <v>206690</v>
      </c>
    </row>
    <row r="335" spans="1:12" x14ac:dyDescent="0.3">
      <c r="A335" s="32"/>
      <c r="B335" s="230"/>
      <c r="C335" s="245"/>
      <c r="D335" s="235"/>
      <c r="E335" s="231"/>
      <c r="F335" s="54">
        <f t="shared" si="53"/>
        <v>982</v>
      </c>
      <c r="G335" s="223"/>
      <c r="H335" s="227"/>
      <c r="I335" s="62">
        <f t="shared" si="54"/>
        <v>0</v>
      </c>
      <c r="J335" s="229"/>
      <c r="K335" s="246"/>
      <c r="L335" s="67">
        <f t="shared" si="52"/>
        <v>206690</v>
      </c>
    </row>
    <row r="336" spans="1:12" x14ac:dyDescent="0.3">
      <c r="A336" s="32"/>
      <c r="B336" s="230"/>
      <c r="C336" s="245"/>
      <c r="D336" s="231"/>
      <c r="E336" s="231"/>
      <c r="F336" s="54">
        <f t="shared" si="53"/>
        <v>982</v>
      </c>
      <c r="G336" s="223"/>
      <c r="H336" s="227"/>
      <c r="I336" s="62">
        <f t="shared" si="54"/>
        <v>0</v>
      </c>
      <c r="J336" s="229"/>
      <c r="K336" s="246"/>
      <c r="L336" s="67">
        <f t="shared" si="52"/>
        <v>206690</v>
      </c>
    </row>
    <row r="337" spans="1:12" x14ac:dyDescent="0.3">
      <c r="A337" s="32"/>
      <c r="B337" s="232"/>
      <c r="C337" s="245"/>
      <c r="D337" s="231"/>
      <c r="E337" s="83"/>
      <c r="F337" s="54">
        <f t="shared" si="53"/>
        <v>982</v>
      </c>
      <c r="G337" s="223"/>
      <c r="H337" s="227"/>
      <c r="I337" s="62">
        <f t="shared" si="54"/>
        <v>0</v>
      </c>
      <c r="J337" s="229"/>
      <c r="K337" s="246"/>
      <c r="L337" s="67">
        <f t="shared" si="52"/>
        <v>206690</v>
      </c>
    </row>
    <row r="338" spans="1:12" x14ac:dyDescent="0.3">
      <c r="A338" s="32"/>
      <c r="B338" s="232"/>
      <c r="C338" s="244"/>
      <c r="D338" s="235"/>
      <c r="E338" s="83"/>
      <c r="F338" s="54">
        <f t="shared" si="53"/>
        <v>982</v>
      </c>
      <c r="G338" s="223"/>
      <c r="H338" s="227"/>
      <c r="I338" s="62">
        <f t="shared" si="54"/>
        <v>0</v>
      </c>
      <c r="J338" s="248"/>
      <c r="K338" s="246"/>
      <c r="L338" s="67">
        <f t="shared" si="52"/>
        <v>206690</v>
      </c>
    </row>
    <row r="339" spans="1:12" x14ac:dyDescent="0.3">
      <c r="A339" s="32"/>
      <c r="B339" s="232"/>
      <c r="C339" s="245"/>
      <c r="D339" s="235"/>
      <c r="E339" s="83"/>
      <c r="F339" s="54">
        <f t="shared" si="53"/>
        <v>982</v>
      </c>
      <c r="G339" s="223"/>
      <c r="H339" s="227"/>
      <c r="I339" s="62">
        <f t="shared" si="54"/>
        <v>0</v>
      </c>
      <c r="J339" s="248"/>
      <c r="K339" s="246"/>
      <c r="L339" s="67">
        <f t="shared" si="52"/>
        <v>206690</v>
      </c>
    </row>
    <row r="340" spans="1:12" x14ac:dyDescent="0.3">
      <c r="A340" s="32"/>
      <c r="B340" s="232"/>
      <c r="C340" s="245"/>
      <c r="D340" s="235"/>
      <c r="E340" s="83"/>
      <c r="F340" s="54">
        <f t="shared" si="53"/>
        <v>982</v>
      </c>
      <c r="G340" s="223"/>
      <c r="H340" s="227"/>
      <c r="I340" s="62">
        <f t="shared" si="54"/>
        <v>0</v>
      </c>
      <c r="J340" s="248"/>
      <c r="K340" s="246"/>
      <c r="L340" s="67">
        <f t="shared" si="52"/>
        <v>206690</v>
      </c>
    </row>
    <row r="341" spans="1:12" x14ac:dyDescent="0.3">
      <c r="A341" s="32"/>
      <c r="B341" s="232"/>
      <c r="C341" s="244"/>
      <c r="D341" s="235"/>
      <c r="E341" s="83"/>
      <c r="F341" s="54">
        <f t="shared" si="53"/>
        <v>982</v>
      </c>
      <c r="G341" s="223"/>
      <c r="H341" s="227"/>
      <c r="I341" s="62">
        <f t="shared" si="54"/>
        <v>0</v>
      </c>
      <c r="J341" s="248"/>
      <c r="K341" s="246"/>
      <c r="L341" s="67">
        <f t="shared" si="52"/>
        <v>206690</v>
      </c>
    </row>
    <row r="342" spans="1:12" x14ac:dyDescent="0.3">
      <c r="A342" s="32"/>
      <c r="B342" s="230"/>
      <c r="C342" s="244"/>
      <c r="D342" s="235"/>
      <c r="E342" s="83"/>
      <c r="F342" s="54">
        <f t="shared" si="53"/>
        <v>982</v>
      </c>
      <c r="G342" s="223"/>
      <c r="H342" s="227"/>
      <c r="I342" s="62">
        <f t="shared" si="54"/>
        <v>0</v>
      </c>
      <c r="J342" s="248"/>
      <c r="K342" s="246"/>
      <c r="L342" s="67">
        <f t="shared" si="52"/>
        <v>206690</v>
      </c>
    </row>
    <row r="343" spans="1:12" x14ac:dyDescent="0.3">
      <c r="A343" s="32"/>
      <c r="B343" s="232"/>
      <c r="C343" s="244"/>
      <c r="D343" s="235"/>
      <c r="E343" s="231"/>
      <c r="F343" s="107">
        <f t="shared" ref="F343:F378" si="55">F342+C343+D343-E343</f>
        <v>982</v>
      </c>
      <c r="G343" s="240"/>
      <c r="H343" s="226"/>
      <c r="I343" s="62">
        <f t="shared" si="54"/>
        <v>0</v>
      </c>
      <c r="J343" s="229"/>
      <c r="K343" s="246"/>
      <c r="L343" s="258">
        <f t="shared" ref="L343:L377" si="56">L342+J343-K343</f>
        <v>206690</v>
      </c>
    </row>
    <row r="344" spans="1:12" x14ac:dyDescent="0.3">
      <c r="A344" s="32"/>
      <c r="B344" s="232"/>
      <c r="C344" s="245"/>
      <c r="D344" s="235"/>
      <c r="E344" s="231"/>
      <c r="F344" s="107">
        <f t="shared" si="55"/>
        <v>982</v>
      </c>
      <c r="G344" s="240"/>
      <c r="H344" s="226"/>
      <c r="I344" s="62">
        <f t="shared" si="54"/>
        <v>0</v>
      </c>
      <c r="J344" s="229"/>
      <c r="K344" s="246"/>
      <c r="L344" s="258">
        <f t="shared" si="56"/>
        <v>206690</v>
      </c>
    </row>
    <row r="345" spans="1:12" x14ac:dyDescent="0.3">
      <c r="A345" s="32"/>
      <c r="B345" s="232"/>
      <c r="C345" s="245"/>
      <c r="D345" s="235"/>
      <c r="E345" s="231"/>
      <c r="F345" s="107">
        <f t="shared" si="55"/>
        <v>982</v>
      </c>
      <c r="G345" s="242"/>
      <c r="H345" s="226"/>
      <c r="I345" s="62">
        <f t="shared" si="54"/>
        <v>0</v>
      </c>
      <c r="J345" s="233"/>
      <c r="K345" s="246"/>
      <c r="L345" s="258">
        <f t="shared" si="56"/>
        <v>206690</v>
      </c>
    </row>
    <row r="346" spans="1:12" x14ac:dyDescent="0.3">
      <c r="A346" s="32"/>
      <c r="B346" s="230"/>
      <c r="C346" s="112"/>
      <c r="D346" s="235"/>
      <c r="E346" s="231"/>
      <c r="F346" s="107">
        <f t="shared" si="55"/>
        <v>982</v>
      </c>
      <c r="G346" s="242"/>
      <c r="H346" s="227"/>
      <c r="I346" s="62">
        <f t="shared" si="54"/>
        <v>0</v>
      </c>
      <c r="J346" s="233"/>
      <c r="K346" s="246"/>
      <c r="L346" s="258">
        <f t="shared" si="56"/>
        <v>206690</v>
      </c>
    </row>
    <row r="347" spans="1:12" x14ac:dyDescent="0.3">
      <c r="A347" s="32"/>
      <c r="B347" s="230"/>
      <c r="C347" s="245"/>
      <c r="D347" s="235"/>
      <c r="E347" s="231"/>
      <c r="F347" s="107">
        <f t="shared" si="55"/>
        <v>982</v>
      </c>
      <c r="G347" s="243"/>
      <c r="H347" s="227"/>
      <c r="I347" s="62">
        <f t="shared" si="54"/>
        <v>0</v>
      </c>
      <c r="J347" s="233"/>
      <c r="K347" s="246"/>
      <c r="L347" s="258">
        <f t="shared" si="56"/>
        <v>206690</v>
      </c>
    </row>
    <row r="348" spans="1:12" x14ac:dyDescent="0.3">
      <c r="A348" s="32"/>
      <c r="B348" s="230"/>
      <c r="C348" s="112"/>
      <c r="D348" s="231"/>
      <c r="E348" s="231"/>
      <c r="F348" s="107">
        <f t="shared" si="55"/>
        <v>982</v>
      </c>
      <c r="G348" s="223"/>
      <c r="H348" s="221"/>
      <c r="I348" s="62">
        <f t="shared" si="54"/>
        <v>0</v>
      </c>
      <c r="J348" s="229"/>
      <c r="K348" s="246"/>
      <c r="L348" s="258">
        <f t="shared" si="56"/>
        <v>206690</v>
      </c>
    </row>
    <row r="349" spans="1:12" x14ac:dyDescent="0.3">
      <c r="A349" s="32"/>
      <c r="B349" s="230"/>
      <c r="C349" s="245"/>
      <c r="D349" s="235"/>
      <c r="E349" s="231"/>
      <c r="F349" s="107">
        <f t="shared" si="55"/>
        <v>982</v>
      </c>
      <c r="G349" s="223"/>
      <c r="H349" s="227"/>
      <c r="I349" s="62">
        <f t="shared" si="54"/>
        <v>0</v>
      </c>
      <c r="J349" s="229"/>
      <c r="K349" s="246"/>
      <c r="L349" s="258">
        <f t="shared" si="56"/>
        <v>206690</v>
      </c>
    </row>
    <row r="350" spans="1:12" x14ac:dyDescent="0.3">
      <c r="A350" s="32"/>
      <c r="B350" s="230"/>
      <c r="C350" s="244"/>
      <c r="D350" s="235"/>
      <c r="E350" s="83"/>
      <c r="F350" s="107">
        <f t="shared" si="55"/>
        <v>982</v>
      </c>
      <c r="G350" s="223"/>
      <c r="H350" s="227"/>
      <c r="I350" s="62">
        <f t="shared" si="54"/>
        <v>0</v>
      </c>
      <c r="J350" s="229"/>
      <c r="K350" s="246"/>
      <c r="L350" s="258">
        <f t="shared" si="56"/>
        <v>206690</v>
      </c>
    </row>
    <row r="351" spans="1:12" x14ac:dyDescent="0.3">
      <c r="A351" s="32"/>
      <c r="B351" s="230"/>
      <c r="C351" s="245"/>
      <c r="D351" s="231"/>
      <c r="E351" s="231"/>
      <c r="F351" s="107">
        <f t="shared" si="55"/>
        <v>982</v>
      </c>
      <c r="G351" s="223"/>
      <c r="H351" s="227"/>
      <c r="I351" s="62">
        <f t="shared" si="54"/>
        <v>0</v>
      </c>
      <c r="J351" s="229"/>
      <c r="K351" s="246"/>
      <c r="L351" s="258">
        <f t="shared" si="56"/>
        <v>206690</v>
      </c>
    </row>
    <row r="352" spans="1:12" x14ac:dyDescent="0.3">
      <c r="A352" s="32"/>
      <c r="B352" s="230"/>
      <c r="C352" s="245"/>
      <c r="D352" s="235"/>
      <c r="E352" s="231"/>
      <c r="F352" s="107">
        <f t="shared" si="55"/>
        <v>982</v>
      </c>
      <c r="G352" s="223"/>
      <c r="H352" s="227"/>
      <c r="I352" s="62">
        <f t="shared" si="54"/>
        <v>0</v>
      </c>
      <c r="J352" s="248"/>
      <c r="K352" s="246"/>
      <c r="L352" s="258">
        <f t="shared" si="56"/>
        <v>206690</v>
      </c>
    </row>
    <row r="353" spans="1:12" x14ac:dyDescent="0.3">
      <c r="A353" s="32"/>
      <c r="B353" s="230"/>
      <c r="C353" s="245"/>
      <c r="D353" s="235"/>
      <c r="E353" s="231"/>
      <c r="F353" s="107">
        <f t="shared" si="55"/>
        <v>982</v>
      </c>
      <c r="G353" s="223"/>
      <c r="H353" s="227"/>
      <c r="I353" s="62">
        <f t="shared" si="54"/>
        <v>0</v>
      </c>
      <c r="J353" s="248"/>
      <c r="K353" s="246"/>
      <c r="L353" s="258">
        <f t="shared" si="56"/>
        <v>206690</v>
      </c>
    </row>
    <row r="354" spans="1:12" x14ac:dyDescent="0.3">
      <c r="A354" s="32"/>
      <c r="B354" s="230"/>
      <c r="C354" s="244"/>
      <c r="D354" s="235"/>
      <c r="E354" s="231"/>
      <c r="F354" s="107">
        <f t="shared" si="55"/>
        <v>982</v>
      </c>
      <c r="G354" s="223"/>
      <c r="H354" s="227"/>
      <c r="I354" s="62">
        <f t="shared" si="54"/>
        <v>0</v>
      </c>
      <c r="J354" s="248"/>
      <c r="K354" s="246"/>
      <c r="L354" s="258">
        <f t="shared" si="56"/>
        <v>206690</v>
      </c>
    </row>
    <row r="355" spans="1:12" x14ac:dyDescent="0.3">
      <c r="A355" s="32"/>
      <c r="B355" s="234"/>
      <c r="C355" s="244"/>
      <c r="D355" s="236"/>
      <c r="E355" s="231"/>
      <c r="F355" s="107">
        <f t="shared" si="55"/>
        <v>982</v>
      </c>
      <c r="G355" s="223"/>
      <c r="H355" s="227"/>
      <c r="I355" s="62">
        <f t="shared" si="54"/>
        <v>0</v>
      </c>
      <c r="J355" s="248"/>
      <c r="K355" s="246"/>
      <c r="L355" s="258">
        <f t="shared" si="56"/>
        <v>206690</v>
      </c>
    </row>
    <row r="356" spans="1:12" x14ac:dyDescent="0.3">
      <c r="A356" s="32"/>
      <c r="B356" s="232"/>
      <c r="C356" s="244"/>
      <c r="D356" s="235"/>
      <c r="E356" s="83"/>
      <c r="F356" s="107">
        <f t="shared" si="55"/>
        <v>982</v>
      </c>
      <c r="G356" s="223"/>
      <c r="H356" s="227"/>
      <c r="I356" s="62">
        <f t="shared" si="54"/>
        <v>0</v>
      </c>
      <c r="J356" s="248"/>
      <c r="K356" s="246"/>
      <c r="L356" s="258">
        <f t="shared" si="56"/>
        <v>206690</v>
      </c>
    </row>
    <row r="357" spans="1:12" x14ac:dyDescent="0.3">
      <c r="A357" s="32"/>
      <c r="B357" s="232"/>
      <c r="C357" s="122"/>
      <c r="D357" s="118"/>
      <c r="E357" s="83"/>
      <c r="F357" s="107">
        <f t="shared" si="55"/>
        <v>982</v>
      </c>
      <c r="G357" s="223"/>
      <c r="H357" s="227"/>
      <c r="I357" s="62">
        <f t="shared" si="54"/>
        <v>0</v>
      </c>
      <c r="J357" s="229"/>
      <c r="K357" s="246"/>
      <c r="L357" s="258">
        <f t="shared" si="56"/>
        <v>206690</v>
      </c>
    </row>
    <row r="358" spans="1:12" x14ac:dyDescent="0.3">
      <c r="A358" s="32"/>
      <c r="B358" s="232"/>
      <c r="C358" s="244"/>
      <c r="D358" s="235"/>
      <c r="E358" s="83"/>
      <c r="F358" s="107">
        <f t="shared" si="55"/>
        <v>982</v>
      </c>
      <c r="G358" s="223"/>
      <c r="H358" s="227"/>
      <c r="I358" s="62">
        <f t="shared" si="54"/>
        <v>0</v>
      </c>
      <c r="J358" s="229"/>
      <c r="K358" s="246"/>
      <c r="L358" s="258">
        <f t="shared" si="56"/>
        <v>206690</v>
      </c>
    </row>
    <row r="359" spans="1:12" x14ac:dyDescent="0.3">
      <c r="A359" s="32"/>
      <c r="B359" s="232"/>
      <c r="C359" s="122"/>
      <c r="D359" s="235"/>
      <c r="E359" s="83"/>
      <c r="F359" s="107">
        <f t="shared" si="55"/>
        <v>982</v>
      </c>
      <c r="G359" s="223"/>
      <c r="H359" s="227"/>
      <c r="I359" s="62">
        <f t="shared" si="54"/>
        <v>0</v>
      </c>
      <c r="J359" s="229"/>
      <c r="K359" s="246"/>
      <c r="L359" s="258">
        <f t="shared" si="56"/>
        <v>206690</v>
      </c>
    </row>
    <row r="360" spans="1:12" x14ac:dyDescent="0.3">
      <c r="A360" s="32"/>
      <c r="B360" s="230"/>
      <c r="C360" s="74"/>
      <c r="D360" s="53"/>
      <c r="E360" s="64"/>
      <c r="F360" s="107">
        <f t="shared" si="55"/>
        <v>982</v>
      </c>
      <c r="G360" s="223"/>
      <c r="H360" s="227"/>
      <c r="I360" s="62">
        <f t="shared" si="54"/>
        <v>0</v>
      </c>
      <c r="J360" s="65"/>
      <c r="K360" s="246"/>
      <c r="L360" s="258">
        <f t="shared" si="56"/>
        <v>206690</v>
      </c>
    </row>
    <row r="361" spans="1:12" x14ac:dyDescent="0.3">
      <c r="A361" s="32"/>
      <c r="B361" s="230"/>
      <c r="C361" s="74"/>
      <c r="D361" s="71"/>
      <c r="E361" s="64"/>
      <c r="F361" s="107">
        <f t="shared" si="55"/>
        <v>982</v>
      </c>
      <c r="G361" s="240"/>
      <c r="H361" s="226"/>
      <c r="I361" s="62">
        <f t="shared" si="54"/>
        <v>0</v>
      </c>
      <c r="J361" s="229"/>
      <c r="K361" s="81"/>
      <c r="L361" s="258">
        <f t="shared" si="56"/>
        <v>206690</v>
      </c>
    </row>
    <row r="362" spans="1:12" x14ac:dyDescent="0.3">
      <c r="A362" s="32"/>
      <c r="B362" s="222"/>
      <c r="C362" s="75"/>
      <c r="D362" s="69"/>
      <c r="E362" s="231"/>
      <c r="F362" s="107">
        <f t="shared" si="55"/>
        <v>982</v>
      </c>
      <c r="G362" s="240"/>
      <c r="H362" s="61"/>
      <c r="I362" s="62">
        <f t="shared" si="54"/>
        <v>0</v>
      </c>
      <c r="J362" s="229"/>
      <c r="K362" s="77"/>
      <c r="L362" s="258">
        <f t="shared" si="56"/>
        <v>206690</v>
      </c>
    </row>
    <row r="363" spans="1:12" x14ac:dyDescent="0.3">
      <c r="A363" s="32"/>
      <c r="B363" s="230"/>
      <c r="C363" s="55"/>
      <c r="D363" s="236"/>
      <c r="E363" s="231"/>
      <c r="F363" s="107">
        <f t="shared" si="55"/>
        <v>982</v>
      </c>
      <c r="G363" s="240"/>
      <c r="H363" s="226"/>
      <c r="I363" s="62">
        <f t="shared" si="54"/>
        <v>0</v>
      </c>
      <c r="J363" s="229"/>
      <c r="K363" s="78"/>
      <c r="L363" s="258">
        <f t="shared" si="56"/>
        <v>206690</v>
      </c>
    </row>
    <row r="364" spans="1:12" x14ac:dyDescent="0.3">
      <c r="A364" s="32"/>
      <c r="B364" s="230"/>
      <c r="C364" s="75"/>
      <c r="D364" s="73"/>
      <c r="E364" s="231"/>
      <c r="F364" s="107">
        <f t="shared" si="55"/>
        <v>982</v>
      </c>
      <c r="G364" s="240"/>
      <c r="H364" s="226"/>
      <c r="I364" s="62">
        <f t="shared" si="54"/>
        <v>0</v>
      </c>
      <c r="J364" s="229"/>
      <c r="K364" s="78"/>
      <c r="L364" s="258">
        <f t="shared" si="56"/>
        <v>206690</v>
      </c>
    </row>
    <row r="365" spans="1:12" ht="15" thickBot="1" x14ac:dyDescent="0.35">
      <c r="A365" s="32"/>
      <c r="B365" s="260"/>
      <c r="C365" s="82"/>
      <c r="D365" s="59"/>
      <c r="E365" s="66"/>
      <c r="F365" s="107">
        <f t="shared" si="55"/>
        <v>982</v>
      </c>
      <c r="G365" s="59"/>
      <c r="H365" s="60"/>
      <c r="I365" s="70">
        <f t="shared" si="54"/>
        <v>0</v>
      </c>
      <c r="J365" s="72"/>
      <c r="K365" s="79"/>
      <c r="L365" s="258">
        <f t="shared" si="56"/>
        <v>206690</v>
      </c>
    </row>
    <row r="366" spans="1:12" x14ac:dyDescent="0.3">
      <c r="A366" s="33"/>
      <c r="B366" s="24"/>
      <c r="C366" s="244"/>
      <c r="D366" s="236"/>
      <c r="E366" s="231"/>
      <c r="F366" s="107">
        <f t="shared" si="55"/>
        <v>982</v>
      </c>
      <c r="G366" s="223"/>
      <c r="H366" s="227"/>
      <c r="I366" s="255">
        <f t="shared" ref="I366:I378" si="57">I365+G366-H366</f>
        <v>0</v>
      </c>
      <c r="J366" s="229"/>
      <c r="K366" s="246"/>
      <c r="L366" s="258">
        <f t="shared" si="56"/>
        <v>206690</v>
      </c>
    </row>
    <row r="367" spans="1:12" x14ac:dyDescent="0.3">
      <c r="A367" s="33"/>
      <c r="B367" s="26"/>
      <c r="C367" s="244"/>
      <c r="D367" s="236"/>
      <c r="E367" s="231"/>
      <c r="F367" s="107">
        <f t="shared" si="55"/>
        <v>982</v>
      </c>
      <c r="G367" s="223"/>
      <c r="H367" s="227"/>
      <c r="I367" s="255">
        <f t="shared" si="57"/>
        <v>0</v>
      </c>
      <c r="J367" s="233"/>
      <c r="K367" s="246"/>
      <c r="L367" s="258">
        <f t="shared" si="56"/>
        <v>206690</v>
      </c>
    </row>
    <row r="368" spans="1:12" x14ac:dyDescent="0.3">
      <c r="A368" s="33"/>
      <c r="B368" s="26"/>
      <c r="C368" s="244"/>
      <c r="D368" s="236"/>
      <c r="E368" s="231"/>
      <c r="F368" s="107">
        <f t="shared" si="55"/>
        <v>982</v>
      </c>
      <c r="G368" s="223"/>
      <c r="H368" s="227"/>
      <c r="I368" s="255">
        <f t="shared" si="57"/>
        <v>0</v>
      </c>
      <c r="J368" s="233"/>
      <c r="K368" s="246"/>
      <c r="L368" s="258">
        <f t="shared" si="56"/>
        <v>206690</v>
      </c>
    </row>
    <row r="369" spans="1:12" x14ac:dyDescent="0.3">
      <c r="A369" s="33"/>
      <c r="B369" s="26"/>
      <c r="C369" s="74"/>
      <c r="D369" s="118"/>
      <c r="E369" s="231"/>
      <c r="F369" s="107">
        <f t="shared" si="55"/>
        <v>982</v>
      </c>
      <c r="G369" s="223"/>
      <c r="H369" s="227"/>
      <c r="I369" s="255">
        <f t="shared" si="57"/>
        <v>0</v>
      </c>
      <c r="J369" s="229"/>
      <c r="K369" s="246"/>
      <c r="L369" s="258">
        <f t="shared" si="56"/>
        <v>206690</v>
      </c>
    </row>
    <row r="370" spans="1:12" x14ac:dyDescent="0.3">
      <c r="A370" s="33"/>
      <c r="B370" s="26"/>
      <c r="C370" s="74"/>
      <c r="D370" s="237"/>
      <c r="E370" s="231"/>
      <c r="F370" s="107">
        <f t="shared" si="55"/>
        <v>982</v>
      </c>
      <c r="G370" s="223"/>
      <c r="H370" s="227"/>
      <c r="I370" s="255">
        <f t="shared" si="57"/>
        <v>0</v>
      </c>
      <c r="J370" s="229"/>
      <c r="K370" s="246"/>
      <c r="L370" s="258">
        <f t="shared" si="56"/>
        <v>206690</v>
      </c>
    </row>
    <row r="371" spans="1:12" x14ac:dyDescent="0.3">
      <c r="A371" s="33"/>
      <c r="B371" s="24"/>
      <c r="C371" s="74"/>
      <c r="D371" s="236"/>
      <c r="E371" s="231"/>
      <c r="F371" s="107">
        <f t="shared" si="55"/>
        <v>982</v>
      </c>
      <c r="G371" s="223"/>
      <c r="H371" s="227"/>
      <c r="I371" s="255">
        <f t="shared" si="57"/>
        <v>0</v>
      </c>
      <c r="J371" s="229"/>
      <c r="K371" s="246"/>
      <c r="L371" s="258">
        <f t="shared" si="56"/>
        <v>206690</v>
      </c>
    </row>
    <row r="372" spans="1:12" x14ac:dyDescent="0.3">
      <c r="A372" s="33"/>
      <c r="B372" s="24"/>
      <c r="C372" s="74"/>
      <c r="D372" s="53"/>
      <c r="E372" s="64"/>
      <c r="F372" s="107">
        <f t="shared" si="55"/>
        <v>982</v>
      </c>
      <c r="G372" s="223"/>
      <c r="H372" s="227"/>
      <c r="I372" s="255">
        <f t="shared" si="57"/>
        <v>0</v>
      </c>
      <c r="J372" s="65"/>
      <c r="K372" s="81"/>
      <c r="L372" s="258">
        <f t="shared" si="56"/>
        <v>206690</v>
      </c>
    </row>
    <row r="373" spans="1:12" x14ac:dyDescent="0.3">
      <c r="A373" s="33"/>
      <c r="B373" s="24"/>
      <c r="C373" s="74"/>
      <c r="D373" s="71"/>
      <c r="E373" s="64"/>
      <c r="F373" s="107">
        <f t="shared" si="55"/>
        <v>982</v>
      </c>
      <c r="G373" s="240"/>
      <c r="H373" s="226"/>
      <c r="I373" s="255">
        <f t="shared" si="57"/>
        <v>0</v>
      </c>
      <c r="J373" s="229"/>
      <c r="K373" s="81"/>
      <c r="L373" s="258">
        <f t="shared" si="56"/>
        <v>206690</v>
      </c>
    </row>
    <row r="374" spans="1:12" x14ac:dyDescent="0.3">
      <c r="A374" s="33"/>
      <c r="B374" s="26"/>
      <c r="C374" s="75"/>
      <c r="D374" s="69"/>
      <c r="E374" s="231"/>
      <c r="F374" s="107">
        <f t="shared" si="55"/>
        <v>982</v>
      </c>
      <c r="G374" s="240"/>
      <c r="H374" s="61"/>
      <c r="I374" s="255">
        <f t="shared" si="57"/>
        <v>0</v>
      </c>
      <c r="J374" s="229"/>
      <c r="K374" s="77"/>
      <c r="L374" s="258">
        <f t="shared" si="56"/>
        <v>206690</v>
      </c>
    </row>
    <row r="375" spans="1:12" x14ac:dyDescent="0.3">
      <c r="A375" s="33"/>
      <c r="B375" s="25"/>
      <c r="C375" s="55"/>
      <c r="D375" s="236"/>
      <c r="E375" s="231"/>
      <c r="F375" s="107">
        <f t="shared" si="55"/>
        <v>982</v>
      </c>
      <c r="G375" s="240"/>
      <c r="H375" s="226"/>
      <c r="I375" s="255">
        <f t="shared" si="57"/>
        <v>0</v>
      </c>
      <c r="J375" s="229"/>
      <c r="K375" s="78"/>
      <c r="L375" s="258">
        <f t="shared" si="56"/>
        <v>206690</v>
      </c>
    </row>
    <row r="376" spans="1:12" x14ac:dyDescent="0.3">
      <c r="A376" s="33"/>
      <c r="B376" s="24"/>
      <c r="C376" s="75"/>
      <c r="D376" s="73"/>
      <c r="E376" s="231"/>
      <c r="F376" s="107">
        <f t="shared" si="55"/>
        <v>982</v>
      </c>
      <c r="G376" s="240"/>
      <c r="H376" s="226"/>
      <c r="I376" s="255">
        <f t="shared" si="57"/>
        <v>0</v>
      </c>
      <c r="J376" s="229"/>
      <c r="K376" s="78"/>
      <c r="L376" s="258">
        <f t="shared" si="56"/>
        <v>206690</v>
      </c>
    </row>
    <row r="377" spans="1:12" ht="15" thickBot="1" x14ac:dyDescent="0.35">
      <c r="A377" s="34"/>
      <c r="B377" s="27"/>
      <c r="C377" s="82"/>
      <c r="D377" s="59"/>
      <c r="E377" s="66"/>
      <c r="F377" s="110">
        <f t="shared" si="55"/>
        <v>982</v>
      </c>
      <c r="G377" s="59"/>
      <c r="H377" s="60"/>
      <c r="I377" s="255">
        <f t="shared" si="57"/>
        <v>0</v>
      </c>
      <c r="J377" s="72"/>
      <c r="K377" s="79"/>
      <c r="L377" s="258">
        <f t="shared" si="56"/>
        <v>206690</v>
      </c>
    </row>
    <row r="378" spans="1:12" ht="15" thickBot="1" x14ac:dyDescent="0.35">
      <c r="A378" s="31"/>
      <c r="B378" s="28" t="s">
        <v>21</v>
      </c>
      <c r="C378" s="76"/>
      <c r="D378" s="56"/>
      <c r="E378" s="57"/>
      <c r="F378" s="111">
        <f t="shared" si="55"/>
        <v>982</v>
      </c>
      <c r="G378" s="105"/>
      <c r="H378" s="58"/>
      <c r="I378" s="256">
        <f t="shared" si="57"/>
        <v>0</v>
      </c>
      <c r="J378" s="63"/>
      <c r="K378" s="80"/>
      <c r="L378" s="259">
        <f>L377+J378-K378</f>
        <v>206690</v>
      </c>
    </row>
    <row r="379" spans="1:12" x14ac:dyDescent="0.3">
      <c r="A379" s="30"/>
      <c r="B379" s="29" t="s">
        <v>22</v>
      </c>
      <c r="C379" s="98"/>
      <c r="D379" s="99"/>
      <c r="E379" s="99"/>
      <c r="F379" s="252">
        <v>5080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2"/>
  <sheetViews>
    <sheetView workbookViewId="0">
      <pane xSplit="1" ySplit="5" topLeftCell="B306" activePane="bottomRight" state="frozen"/>
      <selection pane="topRight" activeCell="B1" sqref="B1"/>
      <selection pane="bottomLeft" activeCell="A6" sqref="A6"/>
      <selection pane="bottomRight" activeCell="B317" sqref="B317"/>
    </sheetView>
  </sheetViews>
  <sheetFormatPr baseColWidth="10" defaultRowHeight="14.4" x14ac:dyDescent="0.3"/>
  <cols>
    <col min="1" max="1" width="10.33203125" style="225" customWidth="1"/>
    <col min="2" max="2" width="50.5546875" style="225" bestFit="1" customWidth="1"/>
    <col min="3" max="5" width="11.5546875" style="225"/>
    <col min="6" max="6" width="11.5546875" style="109"/>
    <col min="7" max="7" width="11.5546875" style="225"/>
    <col min="8" max="8" width="12.21875" style="225" bestFit="1" customWidth="1"/>
    <col min="9" max="9" width="11.5546875" style="109"/>
    <col min="10" max="10" width="13.77734375" style="225" customWidth="1"/>
    <col min="11" max="11" width="13.33203125" style="225" customWidth="1"/>
    <col min="12" max="12" width="12.6640625" style="109" bestFit="1" customWidth="1"/>
    <col min="13" max="16384" width="11.5546875" style="225"/>
  </cols>
  <sheetData>
    <row r="1" spans="1:12" ht="18" x14ac:dyDescent="0.35">
      <c r="A1" s="262" t="s">
        <v>0</v>
      </c>
      <c r="B1" s="47"/>
    </row>
    <row r="2" spans="1:12" ht="18.600000000000001" thickBot="1" x14ac:dyDescent="0.4">
      <c r="A2" s="261" t="s">
        <v>47</v>
      </c>
      <c r="B2" s="48"/>
      <c r="L2" s="263">
        <v>46113</v>
      </c>
    </row>
    <row r="3" spans="1:12" ht="16.2" thickBot="1" x14ac:dyDescent="0.35">
      <c r="A3" s="101"/>
      <c r="B3" s="1" t="s">
        <v>1</v>
      </c>
      <c r="C3" s="49"/>
      <c r="D3" s="51" t="s">
        <v>2</v>
      </c>
      <c r="E3" s="52"/>
      <c r="F3" s="106"/>
      <c r="G3" s="52"/>
      <c r="H3" s="50" t="s">
        <v>3</v>
      </c>
      <c r="I3" s="253"/>
      <c r="J3" s="35" t="s">
        <v>4</v>
      </c>
      <c r="K3" s="36"/>
      <c r="L3" s="238"/>
    </row>
    <row r="4" spans="1:12" ht="15" thickBot="1" x14ac:dyDescent="0.35">
      <c r="A4" s="103"/>
      <c r="B4" s="22"/>
      <c r="C4" s="91" t="s">
        <v>5</v>
      </c>
      <c r="D4" s="92" t="s">
        <v>6</v>
      </c>
      <c r="E4" s="93" t="s">
        <v>7</v>
      </c>
      <c r="F4" s="249" t="s">
        <v>8</v>
      </c>
      <c r="G4" s="94" t="s">
        <v>9</v>
      </c>
      <c r="H4" s="95" t="s">
        <v>10</v>
      </c>
      <c r="I4" s="250" t="s">
        <v>11</v>
      </c>
      <c r="J4" s="96" t="s">
        <v>12</v>
      </c>
      <c r="K4" s="97" t="s">
        <v>13</v>
      </c>
      <c r="L4" s="251" t="s">
        <v>14</v>
      </c>
    </row>
    <row r="5" spans="1:12" x14ac:dyDescent="0.3">
      <c r="A5" s="102"/>
      <c r="B5" s="23" t="s">
        <v>15</v>
      </c>
      <c r="C5" s="84"/>
      <c r="D5" s="290">
        <f>+'032026'!F268</f>
        <v>9019</v>
      </c>
      <c r="E5" s="86"/>
      <c r="F5" s="108">
        <f>D5</f>
        <v>9019</v>
      </c>
      <c r="G5" s="87">
        <v>0</v>
      </c>
      <c r="H5" s="88"/>
      <c r="I5" s="254">
        <v>0</v>
      </c>
      <c r="J5" s="89">
        <f>'032026'!L268</f>
        <v>1081313</v>
      </c>
      <c r="K5" s="90"/>
      <c r="L5" s="257">
        <f>J5</f>
        <v>1081313</v>
      </c>
    </row>
    <row r="6" spans="1:12" x14ac:dyDescent="0.3">
      <c r="A6" s="32">
        <v>46114</v>
      </c>
      <c r="B6" s="230" t="s">
        <v>61</v>
      </c>
      <c r="C6" s="244"/>
      <c r="D6" s="236"/>
      <c r="E6" s="231">
        <v>100</v>
      </c>
      <c r="F6" s="54">
        <f>+F5+C6+D6-E6</f>
        <v>8919</v>
      </c>
      <c r="G6" s="240"/>
      <c r="H6" s="226">
        <v>0</v>
      </c>
      <c r="I6" s="62">
        <f t="shared" ref="I6:I22" si="0">+I5+G6-H6</f>
        <v>0</v>
      </c>
      <c r="J6" s="247"/>
      <c r="K6" s="246"/>
      <c r="L6" s="67">
        <f>+L5+J6-K6</f>
        <v>1081313</v>
      </c>
    </row>
    <row r="7" spans="1:12" x14ac:dyDescent="0.3">
      <c r="A7" s="32">
        <v>46114</v>
      </c>
      <c r="B7" s="230" t="s">
        <v>27</v>
      </c>
      <c r="C7" s="244"/>
      <c r="D7" s="236"/>
      <c r="E7" s="231">
        <v>40</v>
      </c>
      <c r="F7" s="54">
        <f t="shared" ref="F7:F22" si="1">+F6+C7+D7-E7</f>
        <v>8879</v>
      </c>
      <c r="G7" s="241"/>
      <c r="H7" s="226"/>
      <c r="I7" s="62">
        <f t="shared" si="0"/>
        <v>0</v>
      </c>
      <c r="J7" s="247"/>
      <c r="K7" s="246"/>
      <c r="L7" s="67">
        <f t="shared" ref="L7:L22" si="2">+L6+J7-K7</f>
        <v>1081313</v>
      </c>
    </row>
    <row r="8" spans="1:12" x14ac:dyDescent="0.3">
      <c r="A8" s="32">
        <v>46114</v>
      </c>
      <c r="B8" s="230" t="s">
        <v>568</v>
      </c>
      <c r="C8" s="244"/>
      <c r="D8" s="237"/>
      <c r="E8" s="231">
        <v>824</v>
      </c>
      <c r="F8" s="54">
        <f t="shared" si="1"/>
        <v>8055</v>
      </c>
      <c r="G8" s="241"/>
      <c r="H8" s="226"/>
      <c r="I8" s="62">
        <f t="shared" si="0"/>
        <v>0</v>
      </c>
      <c r="J8" s="248"/>
      <c r="K8" s="246"/>
      <c r="L8" s="67">
        <f t="shared" si="2"/>
        <v>1081313</v>
      </c>
    </row>
    <row r="9" spans="1:12" x14ac:dyDescent="0.3">
      <c r="A9" s="32">
        <v>46114</v>
      </c>
      <c r="B9" s="230" t="s">
        <v>569</v>
      </c>
      <c r="C9" s="244"/>
      <c r="D9" s="237"/>
      <c r="E9" s="231">
        <v>2250</v>
      </c>
      <c r="F9" s="54">
        <f t="shared" si="1"/>
        <v>5805</v>
      </c>
      <c r="G9" s="241"/>
      <c r="H9" s="280"/>
      <c r="I9" s="62">
        <f t="shared" si="0"/>
        <v>0</v>
      </c>
      <c r="J9" s="37"/>
      <c r="K9" s="246"/>
      <c r="L9" s="67">
        <f t="shared" si="2"/>
        <v>1081313</v>
      </c>
    </row>
    <row r="10" spans="1:12" x14ac:dyDescent="0.3">
      <c r="A10" s="32">
        <v>46114</v>
      </c>
      <c r="B10" s="230" t="s">
        <v>570</v>
      </c>
      <c r="C10" s="244"/>
      <c r="D10" s="236"/>
      <c r="E10" s="231">
        <v>500</v>
      </c>
      <c r="F10" s="54">
        <f t="shared" si="1"/>
        <v>5305</v>
      </c>
      <c r="G10" s="240"/>
      <c r="H10" s="226"/>
      <c r="I10" s="62">
        <f t="shared" si="0"/>
        <v>0</v>
      </c>
      <c r="J10" s="229"/>
      <c r="K10" s="246"/>
      <c r="L10" s="67">
        <f t="shared" si="2"/>
        <v>1081313</v>
      </c>
    </row>
    <row r="11" spans="1:12" x14ac:dyDescent="0.3">
      <c r="A11" s="32">
        <v>46114</v>
      </c>
      <c r="B11" s="230" t="s">
        <v>571</v>
      </c>
      <c r="C11" s="244"/>
      <c r="D11" s="236"/>
      <c r="E11" s="231">
        <v>100</v>
      </c>
      <c r="F11" s="54">
        <f t="shared" si="1"/>
        <v>5205</v>
      </c>
      <c r="G11" s="240"/>
      <c r="H11" s="226"/>
      <c r="I11" s="62">
        <f t="shared" si="0"/>
        <v>0</v>
      </c>
      <c r="J11" s="271"/>
      <c r="K11" s="246"/>
      <c r="L11" s="67">
        <f t="shared" si="2"/>
        <v>1081313</v>
      </c>
    </row>
    <row r="12" spans="1:12" x14ac:dyDescent="0.3">
      <c r="A12" s="32">
        <v>46114</v>
      </c>
      <c r="B12" s="230" t="s">
        <v>572</v>
      </c>
      <c r="C12" s="244"/>
      <c r="D12" s="236"/>
      <c r="E12" s="231">
        <v>50</v>
      </c>
      <c r="F12" s="54">
        <f t="shared" si="1"/>
        <v>5155</v>
      </c>
      <c r="G12" s="240"/>
      <c r="H12" s="228"/>
      <c r="I12" s="62">
        <f t="shared" si="0"/>
        <v>0</v>
      </c>
      <c r="J12" s="266"/>
      <c r="K12" s="246"/>
      <c r="L12" s="67">
        <f t="shared" si="2"/>
        <v>1081313</v>
      </c>
    </row>
    <row r="13" spans="1:12" x14ac:dyDescent="0.3">
      <c r="A13" s="32">
        <v>46114</v>
      </c>
      <c r="B13" s="230" t="s">
        <v>573</v>
      </c>
      <c r="C13" s="245"/>
      <c r="D13" s="236"/>
      <c r="E13" s="231">
        <v>70</v>
      </c>
      <c r="F13" s="54">
        <f t="shared" si="1"/>
        <v>5085</v>
      </c>
      <c r="G13" s="241"/>
      <c r="H13" s="226"/>
      <c r="I13" s="62">
        <f t="shared" si="0"/>
        <v>0</v>
      </c>
      <c r="J13" s="248"/>
      <c r="K13" s="246"/>
      <c r="L13" s="67">
        <f t="shared" si="2"/>
        <v>1081313</v>
      </c>
    </row>
    <row r="14" spans="1:12" x14ac:dyDescent="0.3">
      <c r="A14" s="32">
        <v>46114</v>
      </c>
      <c r="B14" s="230" t="s">
        <v>574</v>
      </c>
      <c r="C14" s="244"/>
      <c r="D14" s="236"/>
      <c r="E14" s="231">
        <v>406</v>
      </c>
      <c r="F14" s="54">
        <f t="shared" si="1"/>
        <v>4679</v>
      </c>
      <c r="G14" s="240"/>
      <c r="H14" s="226"/>
      <c r="I14" s="62">
        <f t="shared" si="0"/>
        <v>0</v>
      </c>
      <c r="J14" s="264"/>
      <c r="K14" s="246"/>
      <c r="L14" s="67">
        <f t="shared" si="2"/>
        <v>1081313</v>
      </c>
    </row>
    <row r="15" spans="1:12" x14ac:dyDescent="0.3">
      <c r="A15" s="32">
        <v>46114</v>
      </c>
      <c r="B15" s="230" t="s">
        <v>575</v>
      </c>
      <c r="C15" s="244"/>
      <c r="D15" s="236"/>
      <c r="E15" s="231">
        <v>265</v>
      </c>
      <c r="F15" s="54">
        <f t="shared" si="1"/>
        <v>4414</v>
      </c>
      <c r="G15" s="240"/>
      <c r="H15" s="226"/>
      <c r="I15" s="62">
        <f t="shared" si="0"/>
        <v>0</v>
      </c>
      <c r="J15" s="264"/>
      <c r="K15" s="246"/>
      <c r="L15" s="67">
        <f t="shared" si="2"/>
        <v>1081313</v>
      </c>
    </row>
    <row r="16" spans="1:12" x14ac:dyDescent="0.3">
      <c r="A16" s="32">
        <v>46114</v>
      </c>
      <c r="B16" s="220" t="s">
        <v>576</v>
      </c>
      <c r="C16" s="244"/>
      <c r="D16" s="236"/>
      <c r="E16" s="231">
        <v>134</v>
      </c>
      <c r="F16" s="54">
        <f t="shared" si="1"/>
        <v>4280</v>
      </c>
      <c r="G16" s="240"/>
      <c r="H16" s="226"/>
      <c r="I16" s="62">
        <f t="shared" si="0"/>
        <v>0</v>
      </c>
      <c r="J16" s="248"/>
      <c r="K16" s="246"/>
      <c r="L16" s="67">
        <f t="shared" si="2"/>
        <v>1081313</v>
      </c>
    </row>
    <row r="17" spans="1:12" x14ac:dyDescent="0.3">
      <c r="A17" s="32">
        <v>46114</v>
      </c>
      <c r="B17" s="230" t="s">
        <v>577</v>
      </c>
      <c r="C17" s="244"/>
      <c r="D17" s="237"/>
      <c r="E17" s="231">
        <v>750</v>
      </c>
      <c r="F17" s="54">
        <f t="shared" si="1"/>
        <v>3530</v>
      </c>
      <c r="G17" s="240"/>
      <c r="H17" s="226"/>
      <c r="I17" s="62">
        <f t="shared" si="0"/>
        <v>0</v>
      </c>
      <c r="J17" s="130"/>
      <c r="K17" s="246"/>
      <c r="L17" s="67">
        <f t="shared" si="2"/>
        <v>1081313</v>
      </c>
    </row>
    <row r="18" spans="1:12" x14ac:dyDescent="0.3">
      <c r="A18" s="32">
        <v>46114</v>
      </c>
      <c r="B18" s="232" t="s">
        <v>578</v>
      </c>
      <c r="C18" s="244"/>
      <c r="D18" s="236"/>
      <c r="E18" s="231">
        <v>500</v>
      </c>
      <c r="F18" s="54">
        <f t="shared" si="1"/>
        <v>3030</v>
      </c>
      <c r="G18" s="241"/>
      <c r="H18" s="226"/>
      <c r="I18" s="62">
        <f t="shared" si="0"/>
        <v>0</v>
      </c>
      <c r="J18" s="271"/>
      <c r="K18" s="246"/>
      <c r="L18" s="67">
        <f t="shared" si="2"/>
        <v>1081313</v>
      </c>
    </row>
    <row r="19" spans="1:12" x14ac:dyDescent="0.3">
      <c r="A19" s="32">
        <v>46114</v>
      </c>
      <c r="B19" s="232" t="s">
        <v>579</v>
      </c>
      <c r="C19" s="244"/>
      <c r="D19" s="237"/>
      <c r="E19" s="231">
        <v>250</v>
      </c>
      <c r="F19" s="54">
        <f t="shared" si="1"/>
        <v>2780</v>
      </c>
      <c r="G19" s="241"/>
      <c r="H19" s="226"/>
      <c r="I19" s="62">
        <f t="shared" si="0"/>
        <v>0</v>
      </c>
      <c r="J19" s="248"/>
      <c r="K19" s="246"/>
      <c r="L19" s="67">
        <f t="shared" si="2"/>
        <v>1081313</v>
      </c>
    </row>
    <row r="20" spans="1:12" x14ac:dyDescent="0.3">
      <c r="A20" s="32">
        <v>46114</v>
      </c>
      <c r="B20" s="232" t="s">
        <v>580</v>
      </c>
      <c r="C20" s="239"/>
      <c r="D20" s="237"/>
      <c r="E20" s="231">
        <v>2000</v>
      </c>
      <c r="F20" s="54">
        <f t="shared" si="1"/>
        <v>780</v>
      </c>
      <c r="G20" s="242"/>
      <c r="H20" s="227"/>
      <c r="I20" s="62">
        <f t="shared" si="0"/>
        <v>0</v>
      </c>
      <c r="J20" s="37"/>
      <c r="K20" s="246"/>
      <c r="L20" s="67">
        <f t="shared" si="2"/>
        <v>1081313</v>
      </c>
    </row>
    <row r="21" spans="1:12" x14ac:dyDescent="0.3">
      <c r="A21" s="32">
        <v>46114</v>
      </c>
      <c r="B21" s="222" t="s">
        <v>85</v>
      </c>
      <c r="C21" s="244"/>
      <c r="D21" s="236"/>
      <c r="E21" s="231"/>
      <c r="F21" s="54">
        <f t="shared" si="1"/>
        <v>780</v>
      </c>
      <c r="G21" s="243"/>
      <c r="H21" s="227"/>
      <c r="I21" s="62">
        <f t="shared" si="0"/>
        <v>0</v>
      </c>
      <c r="J21" s="271">
        <v>22500</v>
      </c>
      <c r="K21" s="246"/>
      <c r="L21" s="67">
        <f t="shared" si="2"/>
        <v>1103813</v>
      </c>
    </row>
    <row r="22" spans="1:12" x14ac:dyDescent="0.3">
      <c r="A22" s="32">
        <v>46114</v>
      </c>
      <c r="B22" s="230" t="s">
        <v>581</v>
      </c>
      <c r="C22" s="244"/>
      <c r="D22" s="236"/>
      <c r="E22" s="231"/>
      <c r="F22" s="107">
        <f t="shared" si="1"/>
        <v>780</v>
      </c>
      <c r="G22" s="223"/>
      <c r="H22" s="221"/>
      <c r="I22" s="62">
        <f t="shared" si="0"/>
        <v>0</v>
      </c>
      <c r="J22" s="264"/>
      <c r="K22" s="246">
        <v>203500</v>
      </c>
      <c r="L22" s="67">
        <f t="shared" si="2"/>
        <v>900313</v>
      </c>
    </row>
    <row r="23" spans="1:12" x14ac:dyDescent="0.3">
      <c r="A23" s="32"/>
      <c r="B23" s="230"/>
      <c r="C23" s="245"/>
      <c r="D23" s="236"/>
      <c r="E23" s="235"/>
      <c r="F23" s="54">
        <f t="shared" ref="F23:F32" si="3">+F22+C23+D23-E23</f>
        <v>780</v>
      </c>
      <c r="G23" s="241"/>
      <c r="H23" s="226"/>
      <c r="I23" s="62">
        <f t="shared" ref="I23:I32" si="4">I22++G23-H23</f>
        <v>0</v>
      </c>
      <c r="J23" s="233"/>
      <c r="K23" s="246"/>
      <c r="L23" s="67">
        <f t="shared" ref="L23:L32" si="5">L22++J23-K23</f>
        <v>900313</v>
      </c>
    </row>
    <row r="24" spans="1:12" x14ac:dyDescent="0.3">
      <c r="A24" s="32">
        <v>46115</v>
      </c>
      <c r="B24" s="230" t="s">
        <v>582</v>
      </c>
      <c r="C24" s="244"/>
      <c r="D24" s="236"/>
      <c r="E24" s="231"/>
      <c r="F24" s="54">
        <f>+F23+C24+D24-E24</f>
        <v>780</v>
      </c>
      <c r="G24" s="240"/>
      <c r="H24" s="226">
        <v>0</v>
      </c>
      <c r="I24" s="62">
        <f t="shared" ref="I24:I31" si="6">+I23+G24-H24</f>
        <v>0</v>
      </c>
      <c r="J24" s="247"/>
      <c r="K24" s="246">
        <v>20000</v>
      </c>
      <c r="L24" s="67">
        <f>+L23+J24-K24</f>
        <v>880313</v>
      </c>
    </row>
    <row r="25" spans="1:12" x14ac:dyDescent="0.3">
      <c r="A25" s="32">
        <v>46115</v>
      </c>
      <c r="B25" s="232" t="s">
        <v>583</v>
      </c>
      <c r="C25" s="244"/>
      <c r="D25" s="236"/>
      <c r="E25" s="231">
        <v>250</v>
      </c>
      <c r="F25" s="54">
        <f t="shared" ref="F25:F31" si="7">+F24+C25+D25-E25</f>
        <v>530</v>
      </c>
      <c r="G25" s="241"/>
      <c r="H25" s="226"/>
      <c r="I25" s="62">
        <f t="shared" si="6"/>
        <v>0</v>
      </c>
      <c r="J25" s="247"/>
      <c r="K25" s="246"/>
      <c r="L25" s="67">
        <f t="shared" ref="L25:L31" si="8">+L24+J25-K25</f>
        <v>880313</v>
      </c>
    </row>
    <row r="26" spans="1:12" x14ac:dyDescent="0.3">
      <c r="A26" s="32">
        <v>46115</v>
      </c>
      <c r="B26" s="230" t="s">
        <v>584</v>
      </c>
      <c r="C26" s="244"/>
      <c r="D26" s="237"/>
      <c r="E26" s="231">
        <v>45</v>
      </c>
      <c r="F26" s="54">
        <f t="shared" si="7"/>
        <v>485</v>
      </c>
      <c r="G26" s="241"/>
      <c r="H26" s="226"/>
      <c r="I26" s="62">
        <f t="shared" si="6"/>
        <v>0</v>
      </c>
      <c r="J26" s="248"/>
      <c r="K26" s="246"/>
      <c r="L26" s="67">
        <f t="shared" si="8"/>
        <v>880313</v>
      </c>
    </row>
    <row r="27" spans="1:12" x14ac:dyDescent="0.3">
      <c r="A27" s="32">
        <v>46115</v>
      </c>
      <c r="B27" s="230" t="s">
        <v>585</v>
      </c>
      <c r="C27" s="244"/>
      <c r="D27" s="237"/>
      <c r="E27" s="231">
        <v>135</v>
      </c>
      <c r="F27" s="54">
        <f t="shared" si="7"/>
        <v>350</v>
      </c>
      <c r="G27" s="241"/>
      <c r="H27" s="280"/>
      <c r="I27" s="62">
        <f t="shared" si="6"/>
        <v>0</v>
      </c>
      <c r="J27" s="37"/>
      <c r="K27" s="246"/>
      <c r="L27" s="67">
        <f t="shared" si="8"/>
        <v>880313</v>
      </c>
    </row>
    <row r="28" spans="1:12" x14ac:dyDescent="0.3">
      <c r="A28" s="32">
        <v>46115</v>
      </c>
      <c r="B28" s="230" t="s">
        <v>586</v>
      </c>
      <c r="C28" s="244"/>
      <c r="D28" s="236"/>
      <c r="E28" s="231">
        <v>125</v>
      </c>
      <c r="F28" s="54">
        <f t="shared" si="7"/>
        <v>225</v>
      </c>
      <c r="G28" s="240"/>
      <c r="H28" s="226"/>
      <c r="I28" s="62">
        <f t="shared" si="6"/>
        <v>0</v>
      </c>
      <c r="J28" s="229"/>
      <c r="K28" s="246"/>
      <c r="L28" s="67">
        <f t="shared" si="8"/>
        <v>880313</v>
      </c>
    </row>
    <row r="29" spans="1:12" x14ac:dyDescent="0.3">
      <c r="A29" s="32">
        <v>46115</v>
      </c>
      <c r="B29" s="230" t="s">
        <v>52</v>
      </c>
      <c r="C29" s="244"/>
      <c r="D29" s="236"/>
      <c r="E29" s="231"/>
      <c r="F29" s="54">
        <f t="shared" si="7"/>
        <v>225</v>
      </c>
      <c r="G29" s="240"/>
      <c r="H29" s="226"/>
      <c r="I29" s="62">
        <f t="shared" si="6"/>
        <v>0</v>
      </c>
      <c r="J29" s="271"/>
      <c r="K29" s="246">
        <v>10000</v>
      </c>
      <c r="L29" s="67">
        <f t="shared" si="8"/>
        <v>870313</v>
      </c>
    </row>
    <row r="30" spans="1:12" x14ac:dyDescent="0.3">
      <c r="A30" s="32">
        <v>46115</v>
      </c>
      <c r="B30" s="230" t="s">
        <v>587</v>
      </c>
      <c r="C30" s="244"/>
      <c r="D30" s="236"/>
      <c r="E30" s="231">
        <v>125</v>
      </c>
      <c r="F30" s="54">
        <f t="shared" si="7"/>
        <v>100</v>
      </c>
      <c r="G30" s="240"/>
      <c r="H30" s="228"/>
      <c r="I30" s="62">
        <f t="shared" si="6"/>
        <v>0</v>
      </c>
      <c r="J30" s="266"/>
      <c r="K30" s="246"/>
      <c r="L30" s="67">
        <f t="shared" si="8"/>
        <v>870313</v>
      </c>
    </row>
    <row r="31" spans="1:12" x14ac:dyDescent="0.3">
      <c r="A31" s="32">
        <v>46115</v>
      </c>
      <c r="B31" s="230" t="s">
        <v>588</v>
      </c>
      <c r="C31" s="245"/>
      <c r="D31" s="236"/>
      <c r="E31" s="231">
        <v>15</v>
      </c>
      <c r="F31" s="107">
        <f t="shared" si="7"/>
        <v>85</v>
      </c>
      <c r="G31" s="241"/>
      <c r="H31" s="226"/>
      <c r="I31" s="62">
        <f t="shared" si="6"/>
        <v>0</v>
      </c>
      <c r="J31" s="248"/>
      <c r="K31" s="246"/>
      <c r="L31" s="67">
        <f t="shared" si="8"/>
        <v>870313</v>
      </c>
    </row>
    <row r="32" spans="1:12" x14ac:dyDescent="0.3">
      <c r="A32" s="32"/>
      <c r="B32" s="230"/>
      <c r="C32" s="239"/>
      <c r="D32" s="235"/>
      <c r="E32" s="231"/>
      <c r="F32" s="54">
        <f t="shared" si="3"/>
        <v>85</v>
      </c>
      <c r="G32" s="240"/>
      <c r="H32" s="226"/>
      <c r="I32" s="62">
        <f t="shared" si="4"/>
        <v>0</v>
      </c>
      <c r="J32" s="247"/>
      <c r="K32" s="246"/>
      <c r="L32" s="67">
        <f t="shared" si="5"/>
        <v>870313</v>
      </c>
    </row>
    <row r="33" spans="1:12" x14ac:dyDescent="0.3">
      <c r="A33" s="32">
        <v>46119</v>
      </c>
      <c r="B33" s="234" t="s">
        <v>54</v>
      </c>
      <c r="C33" s="245"/>
      <c r="D33" s="236">
        <v>1500</v>
      </c>
      <c r="E33" s="231"/>
      <c r="F33" s="54">
        <f>+F32+C33+D33-E33</f>
        <v>1585</v>
      </c>
      <c r="G33" s="240"/>
      <c r="H33" s="226">
        <v>0</v>
      </c>
      <c r="I33" s="62">
        <f t="shared" ref="I33:I42" si="9">+I32+G33-H33</f>
        <v>0</v>
      </c>
      <c r="J33" s="247"/>
      <c r="K33" s="246"/>
      <c r="L33" s="67">
        <f>+L32+J33-K33</f>
        <v>870313</v>
      </c>
    </row>
    <row r="34" spans="1:12" x14ac:dyDescent="0.3">
      <c r="A34" s="32">
        <v>46119</v>
      </c>
      <c r="B34" s="232" t="s">
        <v>589</v>
      </c>
      <c r="C34" s="244">
        <v>183</v>
      </c>
      <c r="D34" s="236"/>
      <c r="E34" s="231"/>
      <c r="F34" s="54">
        <f t="shared" ref="F34:F42" si="10">+F33+C34+D34-E34</f>
        <v>1768</v>
      </c>
      <c r="G34" s="241"/>
      <c r="H34" s="226"/>
      <c r="I34" s="62">
        <f t="shared" si="9"/>
        <v>0</v>
      </c>
      <c r="J34" s="247"/>
      <c r="K34" s="246"/>
      <c r="L34" s="67">
        <f t="shared" ref="L34:L42" si="11">+L33+J34-K34</f>
        <v>870313</v>
      </c>
    </row>
    <row r="35" spans="1:12" x14ac:dyDescent="0.3">
      <c r="A35" s="32">
        <v>46119</v>
      </c>
      <c r="B35" s="230" t="s">
        <v>590</v>
      </c>
      <c r="C35" s="244"/>
      <c r="D35" s="237"/>
      <c r="E35" s="231"/>
      <c r="F35" s="54">
        <f t="shared" si="10"/>
        <v>1768</v>
      </c>
      <c r="G35" s="241"/>
      <c r="H35" s="226"/>
      <c r="I35" s="62">
        <f t="shared" si="9"/>
        <v>0</v>
      </c>
      <c r="J35" s="248"/>
      <c r="K35" s="246">
        <v>10000</v>
      </c>
      <c r="L35" s="67">
        <f t="shared" si="11"/>
        <v>860313</v>
      </c>
    </row>
    <row r="36" spans="1:12" x14ac:dyDescent="0.3">
      <c r="A36" s="32">
        <v>46119</v>
      </c>
      <c r="B36" s="222" t="s">
        <v>538</v>
      </c>
      <c r="C36" s="244"/>
      <c r="D36" s="237">
        <v>100</v>
      </c>
      <c r="E36" s="231"/>
      <c r="F36" s="54">
        <f t="shared" si="10"/>
        <v>1868</v>
      </c>
      <c r="G36" s="241"/>
      <c r="H36" s="280"/>
      <c r="I36" s="62">
        <f t="shared" si="9"/>
        <v>0</v>
      </c>
      <c r="J36" s="37"/>
      <c r="K36" s="246"/>
      <c r="L36" s="67">
        <f t="shared" si="11"/>
        <v>860313</v>
      </c>
    </row>
    <row r="37" spans="1:12" x14ac:dyDescent="0.3">
      <c r="A37" s="32">
        <v>46119</v>
      </c>
      <c r="B37" s="222" t="s">
        <v>591</v>
      </c>
      <c r="C37" s="244"/>
      <c r="D37" s="237">
        <v>100</v>
      </c>
      <c r="E37" s="231"/>
      <c r="F37" s="54">
        <f t="shared" si="10"/>
        <v>1968</v>
      </c>
      <c r="G37" s="240"/>
      <c r="H37" s="226"/>
      <c r="I37" s="62">
        <f t="shared" si="9"/>
        <v>0</v>
      </c>
      <c r="J37" s="229"/>
      <c r="K37" s="246"/>
      <c r="L37" s="67">
        <f t="shared" si="11"/>
        <v>860313</v>
      </c>
    </row>
    <row r="38" spans="1:12" x14ac:dyDescent="0.3">
      <c r="A38" s="32">
        <v>46119</v>
      </c>
      <c r="B38" s="230" t="s">
        <v>592</v>
      </c>
      <c r="C38" s="244"/>
      <c r="D38" s="236"/>
      <c r="E38" s="231">
        <v>200</v>
      </c>
      <c r="F38" s="54">
        <f t="shared" si="10"/>
        <v>1768</v>
      </c>
      <c r="G38" s="240"/>
      <c r="H38" s="226"/>
      <c r="I38" s="62">
        <f t="shared" si="9"/>
        <v>0</v>
      </c>
      <c r="J38" s="271"/>
      <c r="K38" s="246"/>
      <c r="L38" s="67">
        <f t="shared" si="11"/>
        <v>860313</v>
      </c>
    </row>
    <row r="39" spans="1:12" x14ac:dyDescent="0.3">
      <c r="A39" s="32">
        <v>46119</v>
      </c>
      <c r="B39" s="230" t="s">
        <v>71</v>
      </c>
      <c r="C39" s="244"/>
      <c r="D39" s="236"/>
      <c r="E39" s="231"/>
      <c r="F39" s="54">
        <f t="shared" si="10"/>
        <v>1768</v>
      </c>
      <c r="G39" s="240"/>
      <c r="H39" s="228"/>
      <c r="I39" s="62">
        <f t="shared" si="9"/>
        <v>0</v>
      </c>
      <c r="J39" s="266"/>
      <c r="K39" s="246">
        <v>10000</v>
      </c>
      <c r="L39" s="67">
        <f t="shared" si="11"/>
        <v>850313</v>
      </c>
    </row>
    <row r="40" spans="1:12" x14ac:dyDescent="0.3">
      <c r="A40" s="32">
        <v>46119</v>
      </c>
      <c r="B40" s="230" t="s">
        <v>234</v>
      </c>
      <c r="C40" s="245"/>
      <c r="D40" s="236"/>
      <c r="E40" s="231">
        <v>50</v>
      </c>
      <c r="F40" s="54">
        <f t="shared" si="10"/>
        <v>1718</v>
      </c>
      <c r="G40" s="241"/>
      <c r="H40" s="226"/>
      <c r="I40" s="62">
        <f t="shared" si="9"/>
        <v>0</v>
      </c>
      <c r="J40" s="248"/>
      <c r="K40" s="246"/>
      <c r="L40" s="67">
        <f t="shared" si="11"/>
        <v>850313</v>
      </c>
    </row>
    <row r="41" spans="1:12" x14ac:dyDescent="0.3">
      <c r="A41" s="32">
        <v>46119</v>
      </c>
      <c r="B41" s="230" t="s">
        <v>593</v>
      </c>
      <c r="C41" s="244"/>
      <c r="D41" s="236"/>
      <c r="E41" s="231"/>
      <c r="F41" s="54">
        <f t="shared" si="10"/>
        <v>1718</v>
      </c>
      <c r="G41" s="240"/>
      <c r="H41" s="226"/>
      <c r="I41" s="62">
        <f t="shared" si="9"/>
        <v>0</v>
      </c>
      <c r="J41" s="264"/>
      <c r="K41" s="246">
        <v>372604</v>
      </c>
      <c r="L41" s="67">
        <f t="shared" si="11"/>
        <v>477709</v>
      </c>
    </row>
    <row r="42" spans="1:12" x14ac:dyDescent="0.3">
      <c r="A42" s="32">
        <v>46119</v>
      </c>
      <c r="B42" s="230" t="s">
        <v>594</v>
      </c>
      <c r="C42" s="244"/>
      <c r="D42" s="236"/>
      <c r="E42" s="231"/>
      <c r="F42" s="107">
        <f t="shared" si="10"/>
        <v>1718</v>
      </c>
      <c r="G42" s="240"/>
      <c r="H42" s="226"/>
      <c r="I42" s="62">
        <f t="shared" si="9"/>
        <v>0</v>
      </c>
      <c r="J42" s="264"/>
      <c r="K42" s="246">
        <v>16500</v>
      </c>
      <c r="L42" s="67">
        <f t="shared" si="11"/>
        <v>461209</v>
      </c>
    </row>
    <row r="43" spans="1:12" x14ac:dyDescent="0.3">
      <c r="A43" s="32"/>
      <c r="B43" s="230"/>
      <c r="C43" s="245"/>
      <c r="D43" s="237"/>
      <c r="E43" s="235"/>
      <c r="F43" s="54">
        <f t="shared" ref="F43" si="12">+F42+C43+D43-E43</f>
        <v>1718</v>
      </c>
      <c r="G43" s="240"/>
      <c r="H43" s="226"/>
      <c r="I43" s="62">
        <f t="shared" ref="I43" si="13">I42++G43-H43</f>
        <v>0</v>
      </c>
      <c r="J43" s="233"/>
      <c r="K43" s="246"/>
      <c r="L43" s="67">
        <f t="shared" ref="L43" si="14">L42++J43-K43</f>
        <v>461209</v>
      </c>
    </row>
    <row r="44" spans="1:12" x14ac:dyDescent="0.3">
      <c r="A44" s="32">
        <v>46120</v>
      </c>
      <c r="B44" s="230" t="s">
        <v>27</v>
      </c>
      <c r="C44" s="245"/>
      <c r="D44" s="236"/>
      <c r="E44" s="231">
        <v>40</v>
      </c>
      <c r="F44" s="54">
        <f>+F43+C44+D44-E44</f>
        <v>1678</v>
      </c>
      <c r="G44" s="240"/>
      <c r="H44" s="226">
        <v>0</v>
      </c>
      <c r="I44" s="62">
        <f t="shared" ref="I44:I59" si="15">+I43+G44-H44</f>
        <v>0</v>
      </c>
      <c r="J44" s="247"/>
      <c r="K44" s="246"/>
      <c r="L44" s="67">
        <f>+L43+J44-K44</f>
        <v>461209</v>
      </c>
    </row>
    <row r="45" spans="1:12" x14ac:dyDescent="0.3">
      <c r="A45" s="32">
        <v>46120</v>
      </c>
      <c r="B45" s="230" t="s">
        <v>523</v>
      </c>
      <c r="C45" s="244"/>
      <c r="D45" s="236"/>
      <c r="E45" s="231">
        <v>70</v>
      </c>
      <c r="F45" s="54">
        <f t="shared" ref="F45:F59" si="16">+F44+C45+D45-E45</f>
        <v>1608</v>
      </c>
      <c r="G45" s="241"/>
      <c r="H45" s="226"/>
      <c r="I45" s="62">
        <f t="shared" si="15"/>
        <v>0</v>
      </c>
      <c r="J45" s="247"/>
      <c r="K45" s="246"/>
      <c r="L45" s="67">
        <f t="shared" ref="L45:L59" si="17">+L44+J45-K45</f>
        <v>461209</v>
      </c>
    </row>
    <row r="46" spans="1:12" x14ac:dyDescent="0.3">
      <c r="A46" s="32">
        <v>46120</v>
      </c>
      <c r="B46" s="230" t="s">
        <v>595</v>
      </c>
      <c r="C46" s="244"/>
      <c r="D46" s="237"/>
      <c r="E46" s="231">
        <v>10</v>
      </c>
      <c r="F46" s="54">
        <f t="shared" si="16"/>
        <v>1598</v>
      </c>
      <c r="G46" s="241"/>
      <c r="H46" s="226"/>
      <c r="I46" s="62">
        <f t="shared" si="15"/>
        <v>0</v>
      </c>
      <c r="J46" s="248"/>
      <c r="K46" s="246"/>
      <c r="L46" s="67">
        <f t="shared" si="17"/>
        <v>461209</v>
      </c>
    </row>
    <row r="47" spans="1:12" x14ac:dyDescent="0.3">
      <c r="A47" s="32">
        <v>46120</v>
      </c>
      <c r="B47" s="230" t="s">
        <v>20</v>
      </c>
      <c r="C47" s="244"/>
      <c r="D47" s="237"/>
      <c r="E47" s="231">
        <v>100</v>
      </c>
      <c r="F47" s="54">
        <f t="shared" si="16"/>
        <v>1498</v>
      </c>
      <c r="G47" s="241"/>
      <c r="H47" s="280"/>
      <c r="I47" s="62">
        <f t="shared" si="15"/>
        <v>0</v>
      </c>
      <c r="J47" s="37"/>
      <c r="K47" s="246"/>
      <c r="L47" s="67">
        <f t="shared" si="17"/>
        <v>461209</v>
      </c>
    </row>
    <row r="48" spans="1:12" x14ac:dyDescent="0.3">
      <c r="A48" s="32">
        <v>46120</v>
      </c>
      <c r="B48" s="230" t="s">
        <v>28</v>
      </c>
      <c r="C48" s="244"/>
      <c r="D48" s="237"/>
      <c r="E48" s="231">
        <v>50</v>
      </c>
      <c r="F48" s="54">
        <f t="shared" si="16"/>
        <v>1448</v>
      </c>
      <c r="G48" s="240"/>
      <c r="H48" s="226"/>
      <c r="I48" s="62">
        <f t="shared" si="15"/>
        <v>0</v>
      </c>
      <c r="J48" s="229"/>
      <c r="K48" s="246"/>
      <c r="L48" s="67">
        <f t="shared" si="17"/>
        <v>461209</v>
      </c>
    </row>
    <row r="49" spans="1:12" x14ac:dyDescent="0.3">
      <c r="A49" s="32">
        <v>46120</v>
      </c>
      <c r="B49" s="230" t="s">
        <v>48</v>
      </c>
      <c r="C49" s="244"/>
      <c r="D49" s="236"/>
      <c r="E49" s="231">
        <v>70</v>
      </c>
      <c r="F49" s="54">
        <f t="shared" si="16"/>
        <v>1378</v>
      </c>
      <c r="G49" s="240"/>
      <c r="H49" s="226"/>
      <c r="I49" s="62">
        <f t="shared" si="15"/>
        <v>0</v>
      </c>
      <c r="J49" s="271"/>
      <c r="K49" s="246"/>
      <c r="L49" s="67">
        <f t="shared" si="17"/>
        <v>461209</v>
      </c>
    </row>
    <row r="50" spans="1:12" x14ac:dyDescent="0.3">
      <c r="A50" s="32">
        <v>46120</v>
      </c>
      <c r="B50" s="230" t="s">
        <v>117</v>
      </c>
      <c r="C50" s="244"/>
      <c r="D50" s="236"/>
      <c r="E50" s="231">
        <v>20</v>
      </c>
      <c r="F50" s="54">
        <f t="shared" si="16"/>
        <v>1358</v>
      </c>
      <c r="G50" s="240"/>
      <c r="H50" s="228"/>
      <c r="I50" s="62">
        <f t="shared" si="15"/>
        <v>0</v>
      </c>
      <c r="J50" s="266"/>
      <c r="K50" s="246"/>
      <c r="L50" s="67">
        <f t="shared" si="17"/>
        <v>461209</v>
      </c>
    </row>
    <row r="51" spans="1:12" x14ac:dyDescent="0.3">
      <c r="A51" s="32">
        <v>46120</v>
      </c>
      <c r="B51" s="230" t="s">
        <v>596</v>
      </c>
      <c r="C51" s="245"/>
      <c r="D51" s="236"/>
      <c r="E51" s="231"/>
      <c r="F51" s="54">
        <f t="shared" si="16"/>
        <v>1358</v>
      </c>
      <c r="G51" s="241"/>
      <c r="H51" s="226"/>
      <c r="I51" s="62">
        <f t="shared" si="15"/>
        <v>0</v>
      </c>
      <c r="J51" s="248"/>
      <c r="K51" s="246">
        <v>25704</v>
      </c>
      <c r="L51" s="67">
        <f t="shared" si="17"/>
        <v>435505</v>
      </c>
    </row>
    <row r="52" spans="1:12" x14ac:dyDescent="0.3">
      <c r="A52" s="32">
        <v>46120</v>
      </c>
      <c r="B52" s="230" t="s">
        <v>597</v>
      </c>
      <c r="C52" s="244"/>
      <c r="D52" s="236"/>
      <c r="E52" s="231">
        <v>290</v>
      </c>
      <c r="F52" s="54">
        <f t="shared" si="16"/>
        <v>1068</v>
      </c>
      <c r="G52" s="240"/>
      <c r="H52" s="226"/>
      <c r="I52" s="62">
        <f t="shared" si="15"/>
        <v>0</v>
      </c>
      <c r="J52" s="264"/>
      <c r="K52" s="246"/>
      <c r="L52" s="67">
        <f t="shared" si="17"/>
        <v>435505</v>
      </c>
    </row>
    <row r="53" spans="1:12" x14ac:dyDescent="0.3">
      <c r="A53" s="32">
        <v>46120</v>
      </c>
      <c r="B53" s="230" t="s">
        <v>587</v>
      </c>
      <c r="C53" s="244"/>
      <c r="D53" s="236"/>
      <c r="E53" s="231">
        <v>125</v>
      </c>
      <c r="F53" s="54">
        <f t="shared" si="16"/>
        <v>943</v>
      </c>
      <c r="G53" s="240"/>
      <c r="H53" s="226"/>
      <c r="I53" s="62">
        <f t="shared" si="15"/>
        <v>0</v>
      </c>
      <c r="J53" s="264"/>
      <c r="K53" s="246"/>
      <c r="L53" s="67">
        <f t="shared" si="17"/>
        <v>435505</v>
      </c>
    </row>
    <row r="54" spans="1:12" x14ac:dyDescent="0.3">
      <c r="A54" s="32">
        <v>46120</v>
      </c>
      <c r="B54" s="230" t="s">
        <v>598</v>
      </c>
      <c r="C54" s="244"/>
      <c r="D54" s="236"/>
      <c r="E54" s="231">
        <v>71</v>
      </c>
      <c r="F54" s="54">
        <f t="shared" si="16"/>
        <v>872</v>
      </c>
      <c r="G54" s="240"/>
      <c r="H54" s="226"/>
      <c r="I54" s="62">
        <f t="shared" si="15"/>
        <v>0</v>
      </c>
      <c r="J54" s="248"/>
      <c r="K54" s="246"/>
      <c r="L54" s="67">
        <f t="shared" si="17"/>
        <v>435505</v>
      </c>
    </row>
    <row r="55" spans="1:12" x14ac:dyDescent="0.3">
      <c r="A55" s="32">
        <v>46120</v>
      </c>
      <c r="B55" s="230" t="s">
        <v>34</v>
      </c>
      <c r="C55" s="244"/>
      <c r="D55" s="237"/>
      <c r="E55" s="231">
        <v>80</v>
      </c>
      <c r="F55" s="54">
        <f t="shared" si="16"/>
        <v>792</v>
      </c>
      <c r="G55" s="240"/>
      <c r="H55" s="226"/>
      <c r="I55" s="62">
        <f t="shared" si="15"/>
        <v>0</v>
      </c>
      <c r="J55" s="130"/>
      <c r="K55" s="246"/>
      <c r="L55" s="67">
        <f t="shared" si="17"/>
        <v>435505</v>
      </c>
    </row>
    <row r="56" spans="1:12" x14ac:dyDescent="0.3">
      <c r="A56" s="32">
        <v>46120</v>
      </c>
      <c r="B56" s="230" t="s">
        <v>25</v>
      </c>
      <c r="C56" s="244"/>
      <c r="D56" s="236"/>
      <c r="E56" s="231">
        <v>20</v>
      </c>
      <c r="F56" s="54">
        <f t="shared" si="16"/>
        <v>772</v>
      </c>
      <c r="G56" s="241"/>
      <c r="H56" s="226"/>
      <c r="I56" s="62">
        <f t="shared" si="15"/>
        <v>0</v>
      </c>
      <c r="J56" s="271"/>
      <c r="K56" s="246"/>
      <c r="L56" s="67">
        <f t="shared" si="17"/>
        <v>435505</v>
      </c>
    </row>
    <row r="57" spans="1:12" x14ac:dyDescent="0.3">
      <c r="A57" s="32">
        <v>46120</v>
      </c>
      <c r="B57" s="230" t="s">
        <v>292</v>
      </c>
      <c r="C57" s="244"/>
      <c r="D57" s="237"/>
      <c r="E57" s="231">
        <v>40</v>
      </c>
      <c r="F57" s="54">
        <f t="shared" si="16"/>
        <v>732</v>
      </c>
      <c r="G57" s="241"/>
      <c r="H57" s="226"/>
      <c r="I57" s="62">
        <f t="shared" si="15"/>
        <v>0</v>
      </c>
      <c r="J57" s="248"/>
      <c r="K57" s="246"/>
      <c r="L57" s="67">
        <f t="shared" si="17"/>
        <v>435505</v>
      </c>
    </row>
    <row r="58" spans="1:12" x14ac:dyDescent="0.3">
      <c r="A58" s="32">
        <v>46120</v>
      </c>
      <c r="B58" s="232" t="s">
        <v>599</v>
      </c>
      <c r="C58" s="239">
        <v>420</v>
      </c>
      <c r="D58" s="237"/>
      <c r="E58" s="231"/>
      <c r="F58" s="54">
        <f t="shared" si="16"/>
        <v>1152</v>
      </c>
      <c r="G58" s="242"/>
      <c r="H58" s="227"/>
      <c r="I58" s="62">
        <f t="shared" si="15"/>
        <v>0</v>
      </c>
      <c r="J58" s="37"/>
      <c r="K58" s="246"/>
      <c r="L58" s="67">
        <f t="shared" si="17"/>
        <v>435505</v>
      </c>
    </row>
    <row r="59" spans="1:12" x14ac:dyDescent="0.3">
      <c r="A59" s="32">
        <v>46120</v>
      </c>
      <c r="B59" s="232" t="s">
        <v>600</v>
      </c>
      <c r="C59" s="244"/>
      <c r="D59" s="236"/>
      <c r="E59" s="231"/>
      <c r="F59" s="54">
        <f t="shared" si="16"/>
        <v>1152</v>
      </c>
      <c r="G59" s="243"/>
      <c r="H59" s="227"/>
      <c r="I59" s="62">
        <f t="shared" si="15"/>
        <v>0</v>
      </c>
      <c r="J59" s="264">
        <v>322000</v>
      </c>
      <c r="K59" s="246"/>
      <c r="L59" s="67">
        <f t="shared" si="17"/>
        <v>757505</v>
      </c>
    </row>
    <row r="60" spans="1:12" x14ac:dyDescent="0.3">
      <c r="A60" s="32">
        <v>46120</v>
      </c>
      <c r="B60" s="230" t="s">
        <v>46</v>
      </c>
      <c r="C60" s="245"/>
      <c r="D60" s="236"/>
      <c r="E60" s="231">
        <v>100</v>
      </c>
      <c r="F60" s="107">
        <f>+F59+C60+D60-E60</f>
        <v>1052</v>
      </c>
      <c r="G60" s="240"/>
      <c r="H60" s="226">
        <v>0</v>
      </c>
      <c r="I60" s="62">
        <f>I59++G60-H60</f>
        <v>0</v>
      </c>
      <c r="J60" s="233"/>
      <c r="K60" s="246"/>
      <c r="L60" s="67">
        <f>L59++J60-K60</f>
        <v>757505</v>
      </c>
    </row>
    <row r="61" spans="1:12" x14ac:dyDescent="0.3">
      <c r="A61" s="32">
        <v>46121</v>
      </c>
      <c r="B61" s="230" t="s">
        <v>17</v>
      </c>
      <c r="C61" s="245"/>
      <c r="D61" s="236"/>
      <c r="E61" s="231">
        <v>60</v>
      </c>
      <c r="F61" s="54">
        <f>+F60+C61+D61-E61</f>
        <v>992</v>
      </c>
      <c r="G61" s="240"/>
      <c r="H61" s="226">
        <v>0</v>
      </c>
      <c r="I61" s="62">
        <f t="shared" ref="I61:I72" si="18">+I60+G61-H61</f>
        <v>0</v>
      </c>
      <c r="J61" s="247"/>
      <c r="K61" s="246"/>
      <c r="L61" s="67">
        <f>+L60+J61-K61</f>
        <v>757505</v>
      </c>
    </row>
    <row r="62" spans="1:12" x14ac:dyDescent="0.3">
      <c r="A62" s="32">
        <v>46121</v>
      </c>
      <c r="B62" s="230" t="s">
        <v>601</v>
      </c>
      <c r="C62" s="244"/>
      <c r="D62" s="236"/>
      <c r="E62" s="231">
        <v>50</v>
      </c>
      <c r="F62" s="54">
        <f t="shared" ref="F62:F72" si="19">+F61+C62+D62-E62</f>
        <v>942</v>
      </c>
      <c r="G62" s="241"/>
      <c r="H62" s="226"/>
      <c r="I62" s="62">
        <f t="shared" si="18"/>
        <v>0</v>
      </c>
      <c r="J62" s="247"/>
      <c r="K62" s="246"/>
      <c r="L62" s="67">
        <f t="shared" ref="L62:L72" si="20">+L61+J62-K62</f>
        <v>757505</v>
      </c>
    </row>
    <row r="63" spans="1:12" x14ac:dyDescent="0.3">
      <c r="A63" s="32">
        <v>46121</v>
      </c>
      <c r="B63" s="230" t="s">
        <v>20</v>
      </c>
      <c r="C63" s="244"/>
      <c r="D63" s="237"/>
      <c r="E63" s="231">
        <v>100</v>
      </c>
      <c r="F63" s="54">
        <f t="shared" si="19"/>
        <v>842</v>
      </c>
      <c r="G63" s="241"/>
      <c r="H63" s="226"/>
      <c r="I63" s="62">
        <f t="shared" si="18"/>
        <v>0</v>
      </c>
      <c r="J63" s="248"/>
      <c r="K63" s="246"/>
      <c r="L63" s="67">
        <f t="shared" si="20"/>
        <v>757505</v>
      </c>
    </row>
    <row r="64" spans="1:12" x14ac:dyDescent="0.3">
      <c r="A64" s="32">
        <v>46121</v>
      </c>
      <c r="B64" s="230" t="s">
        <v>602</v>
      </c>
      <c r="C64" s="244"/>
      <c r="D64" s="237"/>
      <c r="E64" s="231">
        <v>15</v>
      </c>
      <c r="F64" s="54">
        <f t="shared" si="19"/>
        <v>827</v>
      </c>
      <c r="G64" s="241"/>
      <c r="H64" s="280"/>
      <c r="I64" s="62">
        <f t="shared" si="18"/>
        <v>0</v>
      </c>
      <c r="J64" s="37"/>
      <c r="K64" s="246"/>
      <c r="L64" s="67">
        <f t="shared" si="20"/>
        <v>757505</v>
      </c>
    </row>
    <row r="65" spans="1:12" x14ac:dyDescent="0.3">
      <c r="A65" s="32">
        <v>46121</v>
      </c>
      <c r="B65" s="230" t="s">
        <v>603</v>
      </c>
      <c r="C65" s="244"/>
      <c r="D65" s="237"/>
      <c r="E65" s="231">
        <v>10</v>
      </c>
      <c r="F65" s="54">
        <f t="shared" si="19"/>
        <v>817</v>
      </c>
      <c r="G65" s="240"/>
      <c r="H65" s="226"/>
      <c r="I65" s="62">
        <f t="shared" si="18"/>
        <v>0</v>
      </c>
      <c r="J65" s="229"/>
      <c r="K65" s="246"/>
      <c r="L65" s="67">
        <f t="shared" si="20"/>
        <v>757505</v>
      </c>
    </row>
    <row r="66" spans="1:12" x14ac:dyDescent="0.3">
      <c r="A66" s="32">
        <v>46121</v>
      </c>
      <c r="B66" s="230" t="s">
        <v>604</v>
      </c>
      <c r="C66" s="244"/>
      <c r="D66" s="236"/>
      <c r="E66" s="231">
        <v>37</v>
      </c>
      <c r="F66" s="54">
        <f t="shared" si="19"/>
        <v>780</v>
      </c>
      <c r="G66" s="240"/>
      <c r="H66" s="226"/>
      <c r="I66" s="62">
        <f t="shared" si="18"/>
        <v>0</v>
      </c>
      <c r="J66" s="271"/>
      <c r="K66" s="246"/>
      <c r="L66" s="67">
        <f t="shared" si="20"/>
        <v>757505</v>
      </c>
    </row>
    <row r="67" spans="1:12" x14ac:dyDescent="0.3">
      <c r="A67" s="32">
        <v>46121</v>
      </c>
      <c r="B67" s="230" t="s">
        <v>605</v>
      </c>
      <c r="C67" s="244"/>
      <c r="D67" s="236"/>
      <c r="E67" s="231">
        <v>50</v>
      </c>
      <c r="F67" s="54">
        <f t="shared" si="19"/>
        <v>730</v>
      </c>
      <c r="G67" s="240"/>
      <c r="H67" s="228"/>
      <c r="I67" s="62">
        <f t="shared" si="18"/>
        <v>0</v>
      </c>
      <c r="J67" s="266"/>
      <c r="K67" s="246"/>
      <c r="L67" s="67">
        <f t="shared" si="20"/>
        <v>757505</v>
      </c>
    </row>
    <row r="68" spans="1:12" x14ac:dyDescent="0.3">
      <c r="A68" s="32">
        <v>46121</v>
      </c>
      <c r="B68" s="230" t="s">
        <v>606</v>
      </c>
      <c r="C68" s="245"/>
      <c r="D68" s="236"/>
      <c r="E68" s="231">
        <v>345</v>
      </c>
      <c r="F68" s="54">
        <f t="shared" si="19"/>
        <v>385</v>
      </c>
      <c r="G68" s="241"/>
      <c r="H68" s="226"/>
      <c r="I68" s="62">
        <f t="shared" si="18"/>
        <v>0</v>
      </c>
      <c r="J68" s="248"/>
      <c r="K68" s="246"/>
      <c r="L68" s="67">
        <f t="shared" si="20"/>
        <v>757505</v>
      </c>
    </row>
    <row r="69" spans="1:12" x14ac:dyDescent="0.3">
      <c r="A69" s="32">
        <v>46121</v>
      </c>
      <c r="B69" s="230" t="s">
        <v>607</v>
      </c>
      <c r="C69" s="244"/>
      <c r="D69" s="236"/>
      <c r="E69" s="231"/>
      <c r="F69" s="54">
        <f t="shared" si="19"/>
        <v>385</v>
      </c>
      <c r="G69" s="240"/>
      <c r="H69" s="226"/>
      <c r="I69" s="62">
        <f t="shared" si="18"/>
        <v>0</v>
      </c>
      <c r="J69" s="264"/>
      <c r="K69" s="246">
        <v>469500</v>
      </c>
      <c r="L69" s="67">
        <f t="shared" si="20"/>
        <v>288005</v>
      </c>
    </row>
    <row r="70" spans="1:12" x14ac:dyDescent="0.3">
      <c r="A70" s="32">
        <v>46121</v>
      </c>
      <c r="B70" s="230" t="s">
        <v>608</v>
      </c>
      <c r="C70" s="244"/>
      <c r="D70" s="236"/>
      <c r="E70" s="231"/>
      <c r="F70" s="54">
        <f t="shared" si="19"/>
        <v>385</v>
      </c>
      <c r="G70" s="240"/>
      <c r="H70" s="226"/>
      <c r="I70" s="62">
        <f t="shared" si="18"/>
        <v>0</v>
      </c>
      <c r="J70" s="264"/>
      <c r="K70" s="246">
        <v>72000</v>
      </c>
      <c r="L70" s="67">
        <f t="shared" si="20"/>
        <v>216005</v>
      </c>
    </row>
    <row r="71" spans="1:12" x14ac:dyDescent="0.3">
      <c r="A71" s="32">
        <v>46121</v>
      </c>
      <c r="B71" s="230" t="s">
        <v>609</v>
      </c>
      <c r="C71" s="244"/>
      <c r="D71" s="236"/>
      <c r="E71" s="231"/>
      <c r="F71" s="54">
        <f t="shared" si="19"/>
        <v>385</v>
      </c>
      <c r="G71" s="240"/>
      <c r="H71" s="226"/>
      <c r="I71" s="62">
        <f t="shared" si="18"/>
        <v>0</v>
      </c>
      <c r="J71" s="248"/>
      <c r="K71" s="246">
        <v>75000</v>
      </c>
      <c r="L71" s="67">
        <f t="shared" si="20"/>
        <v>141005</v>
      </c>
    </row>
    <row r="72" spans="1:12" x14ac:dyDescent="0.3">
      <c r="A72" s="32">
        <v>46121</v>
      </c>
      <c r="B72" s="230" t="s">
        <v>610</v>
      </c>
      <c r="C72" s="244"/>
      <c r="D72" s="237"/>
      <c r="E72" s="231"/>
      <c r="F72" s="107">
        <f t="shared" si="19"/>
        <v>385</v>
      </c>
      <c r="G72" s="240"/>
      <c r="H72" s="226"/>
      <c r="I72" s="62">
        <f t="shared" si="18"/>
        <v>0</v>
      </c>
      <c r="J72" s="130"/>
      <c r="K72" s="246">
        <v>50000</v>
      </c>
      <c r="L72" s="67">
        <f t="shared" si="20"/>
        <v>91005</v>
      </c>
    </row>
    <row r="73" spans="1:12" x14ac:dyDescent="0.3">
      <c r="A73" s="32"/>
      <c r="B73" s="230"/>
      <c r="C73" s="245"/>
      <c r="D73" s="235"/>
      <c r="E73" s="231"/>
      <c r="F73" s="54">
        <f t="shared" ref="F73" si="21">+F72+C73+D73-E73</f>
        <v>385</v>
      </c>
      <c r="G73" s="242"/>
      <c r="H73" s="226"/>
      <c r="I73" s="62">
        <f t="shared" ref="I73" si="22">I72++G73-H73</f>
        <v>0</v>
      </c>
      <c r="J73" s="233"/>
      <c r="K73" s="246"/>
      <c r="L73" s="67">
        <f t="shared" ref="L73" si="23">L72++J73-K73</f>
        <v>91005</v>
      </c>
    </row>
    <row r="74" spans="1:12" x14ac:dyDescent="0.3">
      <c r="A74" s="32">
        <v>46122</v>
      </c>
      <c r="B74" s="230" t="s">
        <v>611</v>
      </c>
      <c r="C74" s="245"/>
      <c r="D74" s="236"/>
      <c r="E74" s="231">
        <v>20</v>
      </c>
      <c r="F74" s="54">
        <f>+F73+C74+D74-E74</f>
        <v>365</v>
      </c>
      <c r="G74" s="240"/>
      <c r="H74" s="226">
        <v>0</v>
      </c>
      <c r="I74" s="62">
        <f t="shared" ref="I74:I83" si="24">+I73+G74-H74</f>
        <v>0</v>
      </c>
      <c r="J74" s="247"/>
      <c r="K74" s="246"/>
      <c r="L74" s="67">
        <f>+L73+J74-K74</f>
        <v>91005</v>
      </c>
    </row>
    <row r="75" spans="1:12" x14ac:dyDescent="0.3">
      <c r="A75" s="32">
        <v>46122</v>
      </c>
      <c r="B75" s="230" t="s">
        <v>57</v>
      </c>
      <c r="C75" s="244"/>
      <c r="D75" s="236"/>
      <c r="E75" s="231"/>
      <c r="F75" s="54">
        <f t="shared" ref="F75:F83" si="25">+F74+C75+D75-E75</f>
        <v>365</v>
      </c>
      <c r="G75" s="241"/>
      <c r="H75" s="226"/>
      <c r="I75" s="62">
        <f t="shared" si="24"/>
        <v>0</v>
      </c>
      <c r="J75" s="247"/>
      <c r="K75" s="246">
        <v>10000</v>
      </c>
      <c r="L75" s="67">
        <f t="shared" ref="L75:L83" si="26">+L74+J75-K75</f>
        <v>81005</v>
      </c>
    </row>
    <row r="76" spans="1:12" x14ac:dyDescent="0.3">
      <c r="A76" s="32">
        <v>46122</v>
      </c>
      <c r="B76" s="230" t="s">
        <v>612</v>
      </c>
      <c r="C76" s="244"/>
      <c r="D76" s="237"/>
      <c r="E76" s="231">
        <v>50</v>
      </c>
      <c r="F76" s="54">
        <f t="shared" si="25"/>
        <v>315</v>
      </c>
      <c r="G76" s="241"/>
      <c r="H76" s="226"/>
      <c r="I76" s="62">
        <f t="shared" si="24"/>
        <v>0</v>
      </c>
      <c r="J76" s="248"/>
      <c r="K76" s="246"/>
      <c r="L76" s="67">
        <f t="shared" si="26"/>
        <v>81005</v>
      </c>
    </row>
    <row r="77" spans="1:12" x14ac:dyDescent="0.3">
      <c r="A77" s="32">
        <v>46122</v>
      </c>
      <c r="B77" s="230" t="s">
        <v>613</v>
      </c>
      <c r="C77" s="244"/>
      <c r="D77" s="237"/>
      <c r="E77" s="231">
        <v>50</v>
      </c>
      <c r="F77" s="54">
        <f t="shared" si="25"/>
        <v>265</v>
      </c>
      <c r="G77" s="241"/>
      <c r="H77" s="280"/>
      <c r="I77" s="62">
        <f t="shared" si="24"/>
        <v>0</v>
      </c>
      <c r="J77" s="37"/>
      <c r="K77" s="246"/>
      <c r="L77" s="67">
        <f t="shared" si="26"/>
        <v>81005</v>
      </c>
    </row>
    <row r="78" spans="1:12" x14ac:dyDescent="0.3">
      <c r="A78" s="32">
        <v>46122</v>
      </c>
      <c r="B78" s="230" t="s">
        <v>52</v>
      </c>
      <c r="C78" s="244"/>
      <c r="D78" s="237"/>
      <c r="E78" s="231"/>
      <c r="F78" s="54">
        <f t="shared" si="25"/>
        <v>265</v>
      </c>
      <c r="G78" s="240"/>
      <c r="H78" s="226"/>
      <c r="I78" s="62">
        <f t="shared" si="24"/>
        <v>0</v>
      </c>
      <c r="J78" s="229"/>
      <c r="K78" s="246">
        <v>10000</v>
      </c>
      <c r="L78" s="67">
        <f t="shared" si="26"/>
        <v>71005</v>
      </c>
    </row>
    <row r="79" spans="1:12" x14ac:dyDescent="0.3">
      <c r="A79" s="32">
        <v>46122</v>
      </c>
      <c r="B79" s="230" t="s">
        <v>614</v>
      </c>
      <c r="C79" s="244"/>
      <c r="D79" s="236"/>
      <c r="E79" s="231"/>
      <c r="F79" s="54">
        <f t="shared" si="25"/>
        <v>265</v>
      </c>
      <c r="G79" s="240"/>
      <c r="H79" s="226"/>
      <c r="I79" s="62">
        <f t="shared" si="24"/>
        <v>0</v>
      </c>
      <c r="J79" s="271"/>
      <c r="K79" s="246">
        <v>15000</v>
      </c>
      <c r="L79" s="67">
        <f t="shared" si="26"/>
        <v>56005</v>
      </c>
    </row>
    <row r="80" spans="1:12" x14ac:dyDescent="0.3">
      <c r="A80" s="32">
        <v>46122</v>
      </c>
      <c r="B80" s="234" t="s">
        <v>16</v>
      </c>
      <c r="C80" s="244"/>
      <c r="D80" s="236">
        <v>1800</v>
      </c>
      <c r="E80" s="231"/>
      <c r="F80" s="54">
        <f t="shared" si="25"/>
        <v>2065</v>
      </c>
      <c r="G80" s="240"/>
      <c r="H80" s="228"/>
      <c r="I80" s="62">
        <f t="shared" si="24"/>
        <v>0</v>
      </c>
      <c r="J80" s="266"/>
      <c r="K80" s="246"/>
      <c r="L80" s="67">
        <f t="shared" si="26"/>
        <v>56005</v>
      </c>
    </row>
    <row r="81" spans="1:12" x14ac:dyDescent="0.3">
      <c r="A81" s="32">
        <v>46122</v>
      </c>
      <c r="B81" s="222" t="s">
        <v>23</v>
      </c>
      <c r="C81" s="245"/>
      <c r="D81" s="236"/>
      <c r="E81" s="224">
        <v>1800</v>
      </c>
      <c r="F81" s="54">
        <f t="shared" si="25"/>
        <v>265</v>
      </c>
      <c r="G81" s="241"/>
      <c r="H81" s="226"/>
      <c r="I81" s="62">
        <f t="shared" si="24"/>
        <v>0</v>
      </c>
      <c r="J81" s="130">
        <v>4158000</v>
      </c>
      <c r="K81" s="246"/>
      <c r="L81" s="67">
        <f t="shared" si="26"/>
        <v>4214005</v>
      </c>
    </row>
    <row r="82" spans="1:12" x14ac:dyDescent="0.3">
      <c r="A82" s="32">
        <v>46122</v>
      </c>
      <c r="B82" s="230" t="s">
        <v>615</v>
      </c>
      <c r="C82" s="244"/>
      <c r="D82" s="236"/>
      <c r="E82" s="231"/>
      <c r="F82" s="54">
        <f t="shared" si="25"/>
        <v>265</v>
      </c>
      <c r="G82" s="240"/>
      <c r="H82" s="226"/>
      <c r="I82" s="62">
        <f t="shared" si="24"/>
        <v>0</v>
      </c>
      <c r="J82" s="264"/>
      <c r="K82" s="246">
        <v>2248499.7000000002</v>
      </c>
      <c r="L82" s="67">
        <f t="shared" si="26"/>
        <v>1965505.2999999998</v>
      </c>
    </row>
    <row r="83" spans="1:12" x14ac:dyDescent="0.3">
      <c r="A83" s="32">
        <v>46122</v>
      </c>
      <c r="B83" s="230" t="s">
        <v>616</v>
      </c>
      <c r="C83" s="244"/>
      <c r="D83" s="236"/>
      <c r="E83" s="231"/>
      <c r="F83" s="107">
        <f t="shared" si="25"/>
        <v>265</v>
      </c>
      <c r="G83" s="240"/>
      <c r="H83" s="226"/>
      <c r="I83" s="62">
        <f t="shared" si="24"/>
        <v>0</v>
      </c>
      <c r="J83" s="264"/>
      <c r="K83" s="246">
        <v>1780062</v>
      </c>
      <c r="L83" s="67">
        <f t="shared" si="26"/>
        <v>185443.29999999981</v>
      </c>
    </row>
    <row r="84" spans="1:12" x14ac:dyDescent="0.3">
      <c r="A84" s="32"/>
      <c r="B84" s="230"/>
      <c r="C84" s="112"/>
      <c r="D84" s="235"/>
      <c r="E84" s="231"/>
      <c r="F84" s="54">
        <f t="shared" ref="F84:F87" si="27">+F83+C84+D84-E84</f>
        <v>265</v>
      </c>
      <c r="G84" s="240"/>
      <c r="H84" s="226"/>
      <c r="I84" s="62">
        <f t="shared" ref="I84:I87" si="28">I83++G84-H84</f>
        <v>0</v>
      </c>
      <c r="J84" s="247"/>
      <c r="K84" s="246"/>
      <c r="L84" s="67">
        <f t="shared" ref="L84:L87" si="29">L83++J84-K84</f>
        <v>185443.29999999981</v>
      </c>
    </row>
    <row r="85" spans="1:12" x14ac:dyDescent="0.3">
      <c r="A85" s="32">
        <v>46123</v>
      </c>
      <c r="B85" s="230" t="s">
        <v>617</v>
      </c>
      <c r="C85" s="245"/>
      <c r="D85" s="236"/>
      <c r="E85" s="231">
        <v>50</v>
      </c>
      <c r="F85" s="54">
        <f>+F84+C85+D85-E85</f>
        <v>215</v>
      </c>
      <c r="G85" s="240"/>
      <c r="H85" s="226">
        <v>0</v>
      </c>
      <c r="I85" s="62">
        <f t="shared" ref="I85:I86" si="30">+I84+G85-H85</f>
        <v>0</v>
      </c>
      <c r="J85" s="247"/>
      <c r="K85" s="246"/>
      <c r="L85" s="67">
        <f>+L84+J85-K85</f>
        <v>185443.29999999981</v>
      </c>
    </row>
    <row r="86" spans="1:12" x14ac:dyDescent="0.3">
      <c r="A86" s="32">
        <v>46123</v>
      </c>
      <c r="B86" s="230" t="s">
        <v>555</v>
      </c>
      <c r="C86" s="244"/>
      <c r="D86" s="236"/>
      <c r="E86" s="231"/>
      <c r="F86" s="107">
        <f t="shared" ref="F86" si="31">+F85+C86+D86-E86</f>
        <v>215</v>
      </c>
      <c r="G86" s="241"/>
      <c r="H86" s="226"/>
      <c r="I86" s="62">
        <f t="shared" si="30"/>
        <v>0</v>
      </c>
      <c r="J86" s="247"/>
      <c r="K86" s="246">
        <v>10000</v>
      </c>
      <c r="L86" s="67">
        <f t="shared" ref="L86" si="32">+L85+J86-K86</f>
        <v>175443.29999999981</v>
      </c>
    </row>
    <row r="87" spans="1:12" x14ac:dyDescent="0.3">
      <c r="A87" s="32"/>
      <c r="B87" s="230"/>
      <c r="C87" s="244"/>
      <c r="D87" s="236"/>
      <c r="E87" s="231"/>
      <c r="F87" s="54">
        <f t="shared" si="27"/>
        <v>215</v>
      </c>
      <c r="G87" s="240"/>
      <c r="H87" s="226"/>
      <c r="I87" s="62">
        <f t="shared" si="28"/>
        <v>0</v>
      </c>
      <c r="J87" s="248"/>
      <c r="K87" s="246"/>
      <c r="L87" s="67">
        <f t="shared" si="29"/>
        <v>175443.29999999981</v>
      </c>
    </row>
    <row r="88" spans="1:12" x14ac:dyDescent="0.3">
      <c r="A88" s="32">
        <v>46125</v>
      </c>
      <c r="B88" s="234" t="s">
        <v>16</v>
      </c>
      <c r="C88" s="245"/>
      <c r="D88" s="236">
        <v>5000</v>
      </c>
      <c r="E88" s="231"/>
      <c r="F88" s="54">
        <f>+F87+C88+D88-E88</f>
        <v>5215</v>
      </c>
      <c r="G88" s="240"/>
      <c r="H88" s="226">
        <v>0</v>
      </c>
      <c r="I88" s="62">
        <f t="shared" ref="I88:I97" si="33">+I87+G88-H88</f>
        <v>0</v>
      </c>
      <c r="J88" s="247"/>
      <c r="K88" s="246"/>
      <c r="L88" s="67">
        <f>+L87+J88-K88</f>
        <v>175443.29999999981</v>
      </c>
    </row>
    <row r="89" spans="1:12" x14ac:dyDescent="0.3">
      <c r="A89" s="32">
        <v>46125</v>
      </c>
      <c r="B89" s="230" t="s">
        <v>618</v>
      </c>
      <c r="C89" s="244"/>
      <c r="D89" s="236"/>
      <c r="E89" s="231">
        <v>100</v>
      </c>
      <c r="F89" s="54">
        <f t="shared" ref="F89:F97" si="34">+F88+C89+D89-E89</f>
        <v>5115</v>
      </c>
      <c r="G89" s="241"/>
      <c r="H89" s="226"/>
      <c r="I89" s="62">
        <f t="shared" si="33"/>
        <v>0</v>
      </c>
      <c r="J89" s="247"/>
      <c r="K89" s="246"/>
      <c r="L89" s="67">
        <f t="shared" ref="L89:L97" si="35">+L88+J89-K89</f>
        <v>175443.29999999981</v>
      </c>
    </row>
    <row r="90" spans="1:12" x14ac:dyDescent="0.3">
      <c r="A90" s="32">
        <v>46125</v>
      </c>
      <c r="B90" s="230" t="s">
        <v>619</v>
      </c>
      <c r="C90" s="244"/>
      <c r="D90" s="237"/>
      <c r="E90" s="231">
        <v>200</v>
      </c>
      <c r="F90" s="54">
        <f t="shared" si="34"/>
        <v>4915</v>
      </c>
      <c r="G90" s="241"/>
      <c r="H90" s="226"/>
      <c r="I90" s="62">
        <f t="shared" si="33"/>
        <v>0</v>
      </c>
      <c r="J90" s="248"/>
      <c r="K90" s="246"/>
      <c r="L90" s="67">
        <f t="shared" si="35"/>
        <v>175443.29999999981</v>
      </c>
    </row>
    <row r="91" spans="1:12" x14ac:dyDescent="0.3">
      <c r="A91" s="32">
        <v>46125</v>
      </c>
      <c r="B91" s="230" t="s">
        <v>27</v>
      </c>
      <c r="C91" s="244"/>
      <c r="D91" s="237"/>
      <c r="E91" s="231">
        <v>40</v>
      </c>
      <c r="F91" s="54">
        <f t="shared" si="34"/>
        <v>4875</v>
      </c>
      <c r="G91" s="241"/>
      <c r="H91" s="280"/>
      <c r="I91" s="62">
        <f t="shared" si="33"/>
        <v>0</v>
      </c>
      <c r="J91" s="37"/>
      <c r="K91" s="246"/>
      <c r="L91" s="67">
        <f t="shared" si="35"/>
        <v>175443.29999999981</v>
      </c>
    </row>
    <row r="92" spans="1:12" x14ac:dyDescent="0.3">
      <c r="A92" s="32">
        <v>46125</v>
      </c>
      <c r="B92" s="222" t="s">
        <v>23</v>
      </c>
      <c r="C92" s="244"/>
      <c r="D92" s="237"/>
      <c r="E92" s="231">
        <v>4300</v>
      </c>
      <c r="F92" s="54">
        <f t="shared" si="34"/>
        <v>575</v>
      </c>
      <c r="G92" s="240"/>
      <c r="H92" s="226"/>
      <c r="I92" s="62">
        <f t="shared" si="33"/>
        <v>0</v>
      </c>
      <c r="J92" s="229">
        <v>9890000</v>
      </c>
      <c r="K92" s="246"/>
      <c r="L92" s="67">
        <f t="shared" si="35"/>
        <v>10065443.300000001</v>
      </c>
    </row>
    <row r="93" spans="1:12" x14ac:dyDescent="0.3">
      <c r="A93" s="32">
        <v>46125</v>
      </c>
      <c r="B93" s="230" t="s">
        <v>620</v>
      </c>
      <c r="C93" s="244"/>
      <c r="D93" s="236"/>
      <c r="E93" s="231"/>
      <c r="F93" s="54">
        <f t="shared" si="34"/>
        <v>575</v>
      </c>
      <c r="G93" s="240"/>
      <c r="H93" s="226"/>
      <c r="I93" s="62">
        <f t="shared" si="33"/>
        <v>0</v>
      </c>
      <c r="J93" s="271"/>
      <c r="K93" s="246">
        <v>2720000</v>
      </c>
      <c r="L93" s="67">
        <f t="shared" si="35"/>
        <v>7345443.3000000007</v>
      </c>
    </row>
    <row r="94" spans="1:12" x14ac:dyDescent="0.3">
      <c r="A94" s="32">
        <v>46125</v>
      </c>
      <c r="B94" s="230" t="s">
        <v>621</v>
      </c>
      <c r="C94" s="244"/>
      <c r="D94" s="236"/>
      <c r="E94" s="231"/>
      <c r="F94" s="54">
        <f t="shared" si="34"/>
        <v>575</v>
      </c>
      <c r="G94" s="240"/>
      <c r="H94" s="228"/>
      <c r="I94" s="62">
        <f t="shared" si="33"/>
        <v>0</v>
      </c>
      <c r="J94" s="266"/>
      <c r="K94" s="246">
        <v>2090000</v>
      </c>
      <c r="L94" s="67">
        <f t="shared" si="35"/>
        <v>5255443.3000000007</v>
      </c>
    </row>
    <row r="95" spans="1:12" x14ac:dyDescent="0.3">
      <c r="A95" s="32">
        <v>46125</v>
      </c>
      <c r="B95" s="230" t="s">
        <v>622</v>
      </c>
      <c r="C95" s="245"/>
      <c r="D95" s="236"/>
      <c r="E95" s="224"/>
      <c r="F95" s="54">
        <f t="shared" si="34"/>
        <v>575</v>
      </c>
      <c r="G95" s="241"/>
      <c r="H95" s="226"/>
      <c r="I95" s="62">
        <f t="shared" si="33"/>
        <v>0</v>
      </c>
      <c r="J95" s="130"/>
      <c r="K95" s="246">
        <v>5015000</v>
      </c>
      <c r="L95" s="67">
        <f t="shared" si="35"/>
        <v>240443.30000000075</v>
      </c>
    </row>
    <row r="96" spans="1:12" x14ac:dyDescent="0.3">
      <c r="A96" s="32">
        <v>46125</v>
      </c>
      <c r="B96" s="232" t="s">
        <v>623</v>
      </c>
      <c r="C96" s="244">
        <v>210</v>
      </c>
      <c r="D96" s="236"/>
      <c r="E96" s="231"/>
      <c r="F96" s="54">
        <f t="shared" si="34"/>
        <v>785</v>
      </c>
      <c r="G96" s="240"/>
      <c r="H96" s="226"/>
      <c r="I96" s="62">
        <f t="shared" si="33"/>
        <v>0</v>
      </c>
      <c r="J96" s="264">
        <v>1000</v>
      </c>
      <c r="K96" s="246"/>
      <c r="L96" s="67">
        <f t="shared" si="35"/>
        <v>241443.30000000075</v>
      </c>
    </row>
    <row r="97" spans="1:12" x14ac:dyDescent="0.3">
      <c r="A97" s="32">
        <v>46125</v>
      </c>
      <c r="B97" s="232" t="s">
        <v>624</v>
      </c>
      <c r="C97" s="244">
        <v>250</v>
      </c>
      <c r="D97" s="236"/>
      <c r="E97" s="231"/>
      <c r="F97" s="107">
        <f t="shared" si="34"/>
        <v>1035</v>
      </c>
      <c r="G97" s="240"/>
      <c r="H97" s="226"/>
      <c r="I97" s="62">
        <f t="shared" si="33"/>
        <v>0</v>
      </c>
      <c r="J97" s="264"/>
      <c r="K97" s="246"/>
      <c r="L97" s="67">
        <f t="shared" si="35"/>
        <v>241443.30000000075</v>
      </c>
    </row>
    <row r="98" spans="1:12" x14ac:dyDescent="0.3">
      <c r="A98" s="32"/>
      <c r="B98" s="230"/>
      <c r="C98" s="245"/>
      <c r="D98" s="237"/>
      <c r="E98" s="235"/>
      <c r="F98" s="54">
        <f t="shared" ref="F98" si="36">+F97+C98+D98-E98</f>
        <v>1035</v>
      </c>
      <c r="G98" s="240"/>
      <c r="H98" s="226"/>
      <c r="I98" s="62">
        <f t="shared" ref="I98" si="37">I97++G98-H98</f>
        <v>0</v>
      </c>
      <c r="J98" s="233"/>
      <c r="K98" s="246"/>
      <c r="L98" s="67">
        <f t="shared" ref="L98" si="38">L97++J98-K98</f>
        <v>241443.30000000075</v>
      </c>
    </row>
    <row r="99" spans="1:12" x14ac:dyDescent="0.3">
      <c r="A99" s="32">
        <v>46126</v>
      </c>
      <c r="B99" s="232" t="s">
        <v>772</v>
      </c>
      <c r="C99" s="244">
        <v>60</v>
      </c>
      <c r="D99" s="236"/>
      <c r="E99" s="231"/>
      <c r="F99" s="54">
        <f>+F98+C99+D99-E99</f>
        <v>1095</v>
      </c>
      <c r="G99" s="240"/>
      <c r="H99" s="226">
        <v>0</v>
      </c>
      <c r="I99" s="62">
        <f t="shared" ref="I99:I118" si="39">+I98+G99-H99</f>
        <v>0</v>
      </c>
      <c r="J99" s="247"/>
      <c r="K99" s="246"/>
      <c r="L99" s="67">
        <f>+L98+J99-K99</f>
        <v>241443.30000000075</v>
      </c>
    </row>
    <row r="100" spans="1:12" x14ac:dyDescent="0.3">
      <c r="A100" s="32">
        <v>46126</v>
      </c>
      <c r="B100" s="230" t="s">
        <v>61</v>
      </c>
      <c r="C100" s="244"/>
      <c r="D100" s="236"/>
      <c r="E100" s="231">
        <v>100</v>
      </c>
      <c r="F100" s="54">
        <f t="shared" ref="F100:F118" si="40">+F99+C100+D100-E100</f>
        <v>995</v>
      </c>
      <c r="G100" s="241"/>
      <c r="H100" s="226"/>
      <c r="I100" s="62">
        <f t="shared" si="39"/>
        <v>0</v>
      </c>
      <c r="J100" s="247"/>
      <c r="K100" s="246"/>
      <c r="L100" s="67">
        <f t="shared" ref="L100:L118" si="41">+L99+J100-K100</f>
        <v>241443.30000000075</v>
      </c>
    </row>
    <row r="101" spans="1:12" x14ac:dyDescent="0.3">
      <c r="A101" s="32">
        <v>46126</v>
      </c>
      <c r="B101" s="230" t="s">
        <v>523</v>
      </c>
      <c r="C101" s="244"/>
      <c r="D101" s="237"/>
      <c r="E101" s="231">
        <v>70</v>
      </c>
      <c r="F101" s="54">
        <f t="shared" si="40"/>
        <v>925</v>
      </c>
      <c r="G101" s="241"/>
      <c r="H101" s="226"/>
      <c r="I101" s="62">
        <f t="shared" si="39"/>
        <v>0</v>
      </c>
      <c r="J101" s="248"/>
      <c r="K101" s="246"/>
      <c r="L101" s="67">
        <f t="shared" si="41"/>
        <v>241443.30000000075</v>
      </c>
    </row>
    <row r="102" spans="1:12" x14ac:dyDescent="0.3">
      <c r="A102" s="32">
        <v>46126</v>
      </c>
      <c r="B102" s="230" t="s">
        <v>524</v>
      </c>
      <c r="C102" s="244"/>
      <c r="D102" s="237"/>
      <c r="E102" s="231">
        <v>10</v>
      </c>
      <c r="F102" s="54">
        <f t="shared" si="40"/>
        <v>915</v>
      </c>
      <c r="G102" s="241"/>
      <c r="H102" s="280"/>
      <c r="I102" s="62">
        <f t="shared" si="39"/>
        <v>0</v>
      </c>
      <c r="J102" s="37"/>
      <c r="K102" s="246"/>
      <c r="L102" s="67">
        <f t="shared" si="41"/>
        <v>241443.30000000075</v>
      </c>
    </row>
    <row r="103" spans="1:12" x14ac:dyDescent="0.3">
      <c r="A103" s="32">
        <v>46126</v>
      </c>
      <c r="B103" s="230" t="s">
        <v>48</v>
      </c>
      <c r="C103" s="244"/>
      <c r="D103" s="237"/>
      <c r="E103" s="231">
        <v>70</v>
      </c>
      <c r="F103" s="54">
        <f t="shared" si="40"/>
        <v>845</v>
      </c>
      <c r="G103" s="240"/>
      <c r="H103" s="226"/>
      <c r="I103" s="62">
        <f t="shared" si="39"/>
        <v>0</v>
      </c>
      <c r="J103" s="229"/>
      <c r="K103" s="246"/>
      <c r="L103" s="67">
        <f t="shared" si="41"/>
        <v>241443.30000000075</v>
      </c>
    </row>
    <row r="104" spans="1:12" x14ac:dyDescent="0.3">
      <c r="A104" s="32">
        <v>46126</v>
      </c>
      <c r="B104" s="230" t="s">
        <v>625</v>
      </c>
      <c r="C104" s="244"/>
      <c r="D104" s="236"/>
      <c r="E104" s="231">
        <v>75</v>
      </c>
      <c r="F104" s="54">
        <f t="shared" si="40"/>
        <v>770</v>
      </c>
      <c r="G104" s="240"/>
      <c r="H104" s="226"/>
      <c r="I104" s="62">
        <f t="shared" si="39"/>
        <v>0</v>
      </c>
      <c r="J104" s="271"/>
      <c r="K104" s="246"/>
      <c r="L104" s="67">
        <f t="shared" si="41"/>
        <v>241443.30000000075</v>
      </c>
    </row>
    <row r="105" spans="1:12" x14ac:dyDescent="0.3">
      <c r="A105" s="32">
        <v>46126</v>
      </c>
      <c r="B105" s="230" t="s">
        <v>626</v>
      </c>
      <c r="C105" s="244"/>
      <c r="D105" s="236"/>
      <c r="E105" s="231">
        <v>50</v>
      </c>
      <c r="F105" s="54">
        <f t="shared" si="40"/>
        <v>720</v>
      </c>
      <c r="G105" s="240"/>
      <c r="H105" s="228"/>
      <c r="I105" s="62">
        <f t="shared" si="39"/>
        <v>0</v>
      </c>
      <c r="J105" s="266"/>
      <c r="K105" s="246"/>
      <c r="L105" s="67">
        <f t="shared" si="41"/>
        <v>241443.30000000075</v>
      </c>
    </row>
    <row r="106" spans="1:12" x14ac:dyDescent="0.3">
      <c r="A106" s="32">
        <v>46126</v>
      </c>
      <c r="B106" s="230" t="s">
        <v>627</v>
      </c>
      <c r="C106" s="245"/>
      <c r="D106" s="236"/>
      <c r="E106" s="231">
        <v>120</v>
      </c>
      <c r="F106" s="54">
        <f t="shared" si="40"/>
        <v>600</v>
      </c>
      <c r="G106" s="241"/>
      <c r="H106" s="226"/>
      <c r="I106" s="62">
        <f t="shared" si="39"/>
        <v>0</v>
      </c>
      <c r="J106" s="130"/>
      <c r="K106" s="246"/>
      <c r="L106" s="67">
        <f t="shared" si="41"/>
        <v>241443.30000000075</v>
      </c>
    </row>
    <row r="107" spans="1:12" x14ac:dyDescent="0.3">
      <c r="A107" s="32">
        <v>46126</v>
      </c>
      <c r="B107" s="230" t="s">
        <v>628</v>
      </c>
      <c r="C107" s="244"/>
      <c r="D107" s="236"/>
      <c r="E107" s="231">
        <v>270</v>
      </c>
      <c r="F107" s="54">
        <f t="shared" si="40"/>
        <v>330</v>
      </c>
      <c r="G107" s="240"/>
      <c r="H107" s="226"/>
      <c r="I107" s="62">
        <f t="shared" si="39"/>
        <v>0</v>
      </c>
      <c r="J107" s="264"/>
      <c r="K107" s="246"/>
      <c r="L107" s="67">
        <f t="shared" si="41"/>
        <v>241443.30000000075</v>
      </c>
    </row>
    <row r="108" spans="1:12" x14ac:dyDescent="0.3">
      <c r="A108" s="32">
        <v>46126</v>
      </c>
      <c r="B108" s="230" t="s">
        <v>45</v>
      </c>
      <c r="C108" s="244"/>
      <c r="D108" s="236"/>
      <c r="E108" s="231">
        <v>80</v>
      </c>
      <c r="F108" s="54">
        <f t="shared" si="40"/>
        <v>250</v>
      </c>
      <c r="G108" s="240"/>
      <c r="H108" s="226"/>
      <c r="I108" s="62">
        <f t="shared" si="39"/>
        <v>0</v>
      </c>
      <c r="J108" s="264"/>
      <c r="K108" s="246"/>
      <c r="L108" s="67">
        <f t="shared" si="41"/>
        <v>241443.30000000075</v>
      </c>
    </row>
    <row r="109" spans="1:12" x14ac:dyDescent="0.3">
      <c r="A109" s="32">
        <v>46126</v>
      </c>
      <c r="B109" s="230" t="s">
        <v>25</v>
      </c>
      <c r="C109" s="244"/>
      <c r="D109" s="236"/>
      <c r="E109" s="231">
        <v>20</v>
      </c>
      <c r="F109" s="54">
        <f t="shared" si="40"/>
        <v>230</v>
      </c>
      <c r="G109" s="240"/>
      <c r="H109" s="226"/>
      <c r="I109" s="62">
        <f t="shared" si="39"/>
        <v>0</v>
      </c>
      <c r="J109" s="248"/>
      <c r="K109" s="246"/>
      <c r="L109" s="67">
        <f t="shared" si="41"/>
        <v>241443.30000000075</v>
      </c>
    </row>
    <row r="110" spans="1:12" x14ac:dyDescent="0.3">
      <c r="A110" s="32">
        <v>46126</v>
      </c>
      <c r="B110" s="230" t="s">
        <v>292</v>
      </c>
      <c r="C110" s="244"/>
      <c r="D110" s="237"/>
      <c r="E110" s="231">
        <v>40</v>
      </c>
      <c r="F110" s="54">
        <f t="shared" si="40"/>
        <v>190</v>
      </c>
      <c r="G110" s="240"/>
      <c r="H110" s="226"/>
      <c r="I110" s="62">
        <f t="shared" si="39"/>
        <v>0</v>
      </c>
      <c r="J110" s="130"/>
      <c r="K110" s="246"/>
      <c r="L110" s="67">
        <f t="shared" si="41"/>
        <v>241443.30000000075</v>
      </c>
    </row>
    <row r="111" spans="1:12" x14ac:dyDescent="0.3">
      <c r="A111" s="32">
        <v>46126</v>
      </c>
      <c r="B111" s="222" t="s">
        <v>23</v>
      </c>
      <c r="C111" s="244"/>
      <c r="D111" s="236"/>
      <c r="E111" s="231">
        <v>100</v>
      </c>
      <c r="F111" s="54">
        <f t="shared" si="40"/>
        <v>90</v>
      </c>
      <c r="G111" s="241"/>
      <c r="H111" s="226"/>
      <c r="I111" s="62">
        <f t="shared" si="39"/>
        <v>0</v>
      </c>
      <c r="J111" s="271">
        <v>230000</v>
      </c>
      <c r="K111" s="246"/>
      <c r="L111" s="67">
        <f t="shared" si="41"/>
        <v>471443.30000000075</v>
      </c>
    </row>
    <row r="112" spans="1:12" x14ac:dyDescent="0.3">
      <c r="A112" s="32">
        <v>46126</v>
      </c>
      <c r="B112" s="230" t="s">
        <v>340</v>
      </c>
      <c r="C112" s="244"/>
      <c r="D112" s="237"/>
      <c r="E112" s="231"/>
      <c r="F112" s="54">
        <f t="shared" si="40"/>
        <v>90</v>
      </c>
      <c r="G112" s="241"/>
      <c r="H112" s="226"/>
      <c r="I112" s="62">
        <f t="shared" si="39"/>
        <v>0</v>
      </c>
      <c r="J112" s="248"/>
      <c r="K112" s="246">
        <v>238300</v>
      </c>
      <c r="L112" s="67">
        <f t="shared" si="41"/>
        <v>233143.30000000075</v>
      </c>
    </row>
    <row r="113" spans="1:12" x14ac:dyDescent="0.3">
      <c r="A113" s="32">
        <v>46126</v>
      </c>
      <c r="B113" s="234" t="s">
        <v>72</v>
      </c>
      <c r="C113" s="239"/>
      <c r="D113" s="237">
        <v>480</v>
      </c>
      <c r="E113" s="231"/>
      <c r="F113" s="54">
        <f t="shared" si="40"/>
        <v>570</v>
      </c>
      <c r="G113" s="242"/>
      <c r="H113" s="227"/>
      <c r="I113" s="62">
        <f t="shared" si="39"/>
        <v>0</v>
      </c>
      <c r="J113" s="37"/>
      <c r="K113" s="246"/>
      <c r="L113" s="67">
        <f t="shared" si="41"/>
        <v>233143.30000000075</v>
      </c>
    </row>
    <row r="114" spans="1:12" x14ac:dyDescent="0.3">
      <c r="A114" s="32">
        <v>46126</v>
      </c>
      <c r="B114" s="230" t="s">
        <v>629</v>
      </c>
      <c r="C114" s="244"/>
      <c r="D114" s="236"/>
      <c r="E114" s="231">
        <v>480</v>
      </c>
      <c r="F114" s="54">
        <f t="shared" si="40"/>
        <v>90</v>
      </c>
      <c r="G114" s="243"/>
      <c r="H114" s="227"/>
      <c r="I114" s="62">
        <f t="shared" si="39"/>
        <v>0</v>
      </c>
      <c r="J114" s="264"/>
      <c r="K114" s="246"/>
      <c r="L114" s="67">
        <f t="shared" si="41"/>
        <v>233143.30000000075</v>
      </c>
    </row>
    <row r="115" spans="1:12" x14ac:dyDescent="0.3">
      <c r="A115" s="32">
        <v>46126</v>
      </c>
      <c r="B115" s="232" t="s">
        <v>630</v>
      </c>
      <c r="C115" s="244">
        <v>440</v>
      </c>
      <c r="D115" s="236"/>
      <c r="E115" s="231"/>
      <c r="F115" s="54">
        <f t="shared" si="40"/>
        <v>530</v>
      </c>
      <c r="G115" s="223"/>
      <c r="H115" s="221"/>
      <c r="I115" s="62">
        <f t="shared" si="39"/>
        <v>0</v>
      </c>
      <c r="J115" s="264">
        <v>12000</v>
      </c>
      <c r="K115" s="246"/>
      <c r="L115" s="67">
        <f t="shared" si="41"/>
        <v>245143.30000000075</v>
      </c>
    </row>
    <row r="116" spans="1:12" x14ac:dyDescent="0.3">
      <c r="A116" s="32">
        <v>46126</v>
      </c>
      <c r="B116" s="234" t="s">
        <v>16</v>
      </c>
      <c r="C116" s="244"/>
      <c r="D116" s="236">
        <v>2500</v>
      </c>
      <c r="E116" s="231"/>
      <c r="F116" s="54">
        <f t="shared" si="40"/>
        <v>3030</v>
      </c>
      <c r="G116" s="223"/>
      <c r="H116" s="227"/>
      <c r="I116" s="62">
        <f t="shared" si="39"/>
        <v>0</v>
      </c>
      <c r="J116" s="264"/>
      <c r="K116" s="246"/>
      <c r="L116" s="67">
        <f t="shared" si="41"/>
        <v>245143.30000000075</v>
      </c>
    </row>
    <row r="117" spans="1:12" x14ac:dyDescent="0.3">
      <c r="A117" s="32">
        <v>46126</v>
      </c>
      <c r="B117" s="232" t="s">
        <v>631</v>
      </c>
      <c r="C117" s="239"/>
      <c r="D117" s="236"/>
      <c r="E117" s="231">
        <v>1800</v>
      </c>
      <c r="F117" s="54">
        <f t="shared" si="40"/>
        <v>1230</v>
      </c>
      <c r="G117" s="223"/>
      <c r="H117" s="227"/>
      <c r="I117" s="62">
        <f t="shared" si="39"/>
        <v>0</v>
      </c>
      <c r="J117" s="229"/>
      <c r="K117" s="246"/>
      <c r="L117" s="67">
        <f t="shared" si="41"/>
        <v>245143.30000000075</v>
      </c>
    </row>
    <row r="118" spans="1:12" x14ac:dyDescent="0.3">
      <c r="A118" s="32">
        <v>46126</v>
      </c>
      <c r="B118" s="230" t="s">
        <v>632</v>
      </c>
      <c r="C118" s="244"/>
      <c r="D118" s="236"/>
      <c r="E118" s="231"/>
      <c r="F118" s="107">
        <f t="shared" si="40"/>
        <v>1230</v>
      </c>
      <c r="G118" s="223"/>
      <c r="H118" s="227"/>
      <c r="I118" s="62">
        <f t="shared" si="39"/>
        <v>0</v>
      </c>
      <c r="J118" s="65"/>
      <c r="K118" s="246">
        <v>65000</v>
      </c>
      <c r="L118" s="67">
        <f t="shared" si="41"/>
        <v>180143.30000000075</v>
      </c>
    </row>
    <row r="119" spans="1:12" x14ac:dyDescent="0.3">
      <c r="A119" s="32"/>
      <c r="B119" s="234"/>
      <c r="C119" s="245"/>
      <c r="D119" s="236"/>
      <c r="E119" s="231"/>
      <c r="F119" s="54">
        <f>+F118+C119+D119-E119</f>
        <v>1230</v>
      </c>
      <c r="G119" s="240"/>
      <c r="H119" s="226">
        <v>0</v>
      </c>
      <c r="I119" s="62">
        <f>I118++G119-H119</f>
        <v>0</v>
      </c>
      <c r="J119" s="233"/>
      <c r="K119" s="246"/>
      <c r="L119" s="67">
        <f>L118++J119-K119</f>
        <v>180143.30000000075</v>
      </c>
    </row>
    <row r="120" spans="1:12" x14ac:dyDescent="0.3">
      <c r="A120" s="32">
        <v>46127</v>
      </c>
      <c r="B120" s="230" t="s">
        <v>36</v>
      </c>
      <c r="C120" s="244"/>
      <c r="D120" s="236"/>
      <c r="E120" s="231">
        <v>50</v>
      </c>
      <c r="F120" s="54">
        <f>+F119+C120+D120-E120</f>
        <v>1180</v>
      </c>
      <c r="G120" s="240"/>
      <c r="H120" s="226">
        <v>0</v>
      </c>
      <c r="I120" s="62">
        <f t="shared" ref="I120:I133" si="42">+I119+G120-H120</f>
        <v>0</v>
      </c>
      <c r="J120" s="247"/>
      <c r="K120" s="246"/>
      <c r="L120" s="67">
        <f>+L119+J120-K120</f>
        <v>180143.30000000075</v>
      </c>
    </row>
    <row r="121" spans="1:12" x14ac:dyDescent="0.3">
      <c r="A121" s="32">
        <v>46127</v>
      </c>
      <c r="B121" s="230" t="s">
        <v>633</v>
      </c>
      <c r="C121" s="244"/>
      <c r="D121" s="236"/>
      <c r="E121" s="231">
        <v>15</v>
      </c>
      <c r="F121" s="54">
        <f t="shared" ref="F121:F133" si="43">+F120+C121+D121-E121</f>
        <v>1165</v>
      </c>
      <c r="G121" s="241"/>
      <c r="H121" s="226"/>
      <c r="I121" s="62">
        <f t="shared" si="42"/>
        <v>0</v>
      </c>
      <c r="J121" s="247"/>
      <c r="K121" s="246"/>
      <c r="L121" s="67">
        <f t="shared" ref="L121:L133" si="44">+L120+J121-K121</f>
        <v>180143.30000000075</v>
      </c>
    </row>
    <row r="122" spans="1:12" x14ac:dyDescent="0.3">
      <c r="A122" s="32">
        <v>46127</v>
      </c>
      <c r="B122" s="230" t="s">
        <v>55</v>
      </c>
      <c r="C122" s="244"/>
      <c r="D122" s="237"/>
      <c r="E122" s="231"/>
      <c r="F122" s="54">
        <f t="shared" si="43"/>
        <v>1165</v>
      </c>
      <c r="G122" s="241"/>
      <c r="H122" s="226"/>
      <c r="I122" s="62">
        <f t="shared" si="42"/>
        <v>0</v>
      </c>
      <c r="J122" s="248"/>
      <c r="K122" s="246">
        <v>10000</v>
      </c>
      <c r="L122" s="67">
        <f t="shared" si="44"/>
        <v>170143.30000000075</v>
      </c>
    </row>
    <row r="123" spans="1:12" x14ac:dyDescent="0.3">
      <c r="A123" s="32">
        <v>46127</v>
      </c>
      <c r="B123" s="232" t="s">
        <v>634</v>
      </c>
      <c r="C123" s="244"/>
      <c r="D123" s="237"/>
      <c r="E123" s="231">
        <v>310</v>
      </c>
      <c r="F123" s="54">
        <f t="shared" si="43"/>
        <v>855</v>
      </c>
      <c r="G123" s="241"/>
      <c r="H123" s="280"/>
      <c r="I123" s="62">
        <f t="shared" si="42"/>
        <v>0</v>
      </c>
      <c r="J123" s="37"/>
      <c r="K123" s="246"/>
      <c r="L123" s="67">
        <f t="shared" si="44"/>
        <v>170143.30000000075</v>
      </c>
    </row>
    <row r="124" spans="1:12" x14ac:dyDescent="0.3">
      <c r="A124" s="32">
        <v>46127</v>
      </c>
      <c r="B124" s="230" t="s">
        <v>635</v>
      </c>
      <c r="C124" s="244"/>
      <c r="D124" s="237"/>
      <c r="E124" s="231">
        <v>300</v>
      </c>
      <c r="F124" s="54">
        <f t="shared" si="43"/>
        <v>555</v>
      </c>
      <c r="G124" s="240"/>
      <c r="H124" s="226"/>
      <c r="I124" s="62">
        <f t="shared" si="42"/>
        <v>0</v>
      </c>
      <c r="J124" s="229"/>
      <c r="K124" s="246"/>
      <c r="L124" s="67">
        <f t="shared" si="44"/>
        <v>170143.30000000075</v>
      </c>
    </row>
    <row r="125" spans="1:12" x14ac:dyDescent="0.3">
      <c r="A125" s="32">
        <v>46127</v>
      </c>
      <c r="B125" s="230" t="s">
        <v>636</v>
      </c>
      <c r="C125" s="244"/>
      <c r="D125" s="236"/>
      <c r="E125" s="231">
        <v>250</v>
      </c>
      <c r="F125" s="54">
        <f t="shared" si="43"/>
        <v>305</v>
      </c>
      <c r="G125" s="240"/>
      <c r="H125" s="226"/>
      <c r="I125" s="62">
        <f t="shared" si="42"/>
        <v>0</v>
      </c>
      <c r="J125" s="271"/>
      <c r="K125" s="246"/>
      <c r="L125" s="67">
        <f t="shared" si="44"/>
        <v>170143.30000000075</v>
      </c>
    </row>
    <row r="126" spans="1:12" x14ac:dyDescent="0.3">
      <c r="A126" s="32">
        <v>46127</v>
      </c>
      <c r="B126" s="230" t="s">
        <v>637</v>
      </c>
      <c r="C126" s="244"/>
      <c r="D126" s="236"/>
      <c r="E126" s="231">
        <v>140</v>
      </c>
      <c r="F126" s="54">
        <f t="shared" si="43"/>
        <v>165</v>
      </c>
      <c r="G126" s="240"/>
      <c r="H126" s="228"/>
      <c r="I126" s="62">
        <f t="shared" si="42"/>
        <v>0</v>
      </c>
      <c r="J126" s="266"/>
      <c r="K126" s="246"/>
      <c r="L126" s="67">
        <f t="shared" si="44"/>
        <v>170143.30000000075</v>
      </c>
    </row>
    <row r="127" spans="1:12" x14ac:dyDescent="0.3">
      <c r="A127" s="32">
        <v>46127</v>
      </c>
      <c r="B127" s="230" t="s">
        <v>638</v>
      </c>
      <c r="C127" s="245"/>
      <c r="D127" s="236"/>
      <c r="E127" s="231">
        <v>100</v>
      </c>
      <c r="F127" s="54">
        <f t="shared" si="43"/>
        <v>65</v>
      </c>
      <c r="G127" s="241"/>
      <c r="H127" s="226"/>
      <c r="I127" s="62">
        <f t="shared" si="42"/>
        <v>0</v>
      </c>
      <c r="J127" s="130"/>
      <c r="K127" s="246"/>
      <c r="L127" s="67">
        <f t="shared" si="44"/>
        <v>170143.30000000075</v>
      </c>
    </row>
    <row r="128" spans="1:12" x14ac:dyDescent="0.3">
      <c r="A128" s="32">
        <v>46127</v>
      </c>
      <c r="B128" s="234" t="s">
        <v>16</v>
      </c>
      <c r="C128" s="244"/>
      <c r="D128" s="236">
        <v>1000</v>
      </c>
      <c r="E128" s="231"/>
      <c r="F128" s="54">
        <f t="shared" si="43"/>
        <v>1065</v>
      </c>
      <c r="G128" s="240"/>
      <c r="H128" s="226"/>
      <c r="I128" s="62">
        <f t="shared" si="42"/>
        <v>0</v>
      </c>
      <c r="J128" s="264"/>
      <c r="K128" s="246"/>
      <c r="L128" s="67">
        <f t="shared" si="44"/>
        <v>170143.30000000075</v>
      </c>
    </row>
    <row r="129" spans="1:12" x14ac:dyDescent="0.3">
      <c r="A129" s="32">
        <v>46127</v>
      </c>
      <c r="B129" s="230" t="s">
        <v>639</v>
      </c>
      <c r="C129" s="244"/>
      <c r="D129" s="236"/>
      <c r="E129" s="231">
        <v>100</v>
      </c>
      <c r="F129" s="54">
        <f t="shared" si="43"/>
        <v>965</v>
      </c>
      <c r="G129" s="240"/>
      <c r="H129" s="226"/>
      <c r="I129" s="62">
        <f t="shared" si="42"/>
        <v>0</v>
      </c>
      <c r="J129" s="264"/>
      <c r="K129" s="246"/>
      <c r="L129" s="67">
        <f t="shared" si="44"/>
        <v>170143.30000000075</v>
      </c>
    </row>
    <row r="130" spans="1:12" x14ac:dyDescent="0.3">
      <c r="A130" s="32">
        <v>46127</v>
      </c>
      <c r="B130" s="230" t="s">
        <v>86</v>
      </c>
      <c r="C130" s="244"/>
      <c r="D130" s="236"/>
      <c r="E130" s="231">
        <v>132</v>
      </c>
      <c r="F130" s="54">
        <f t="shared" si="43"/>
        <v>833</v>
      </c>
      <c r="G130" s="240"/>
      <c r="H130" s="226"/>
      <c r="I130" s="62">
        <f t="shared" si="42"/>
        <v>0</v>
      </c>
      <c r="J130" s="248"/>
      <c r="K130" s="246"/>
      <c r="L130" s="67">
        <f t="shared" si="44"/>
        <v>170143.30000000075</v>
      </c>
    </row>
    <row r="131" spans="1:12" x14ac:dyDescent="0.3">
      <c r="A131" s="32">
        <v>46127</v>
      </c>
      <c r="B131" s="230" t="s">
        <v>640</v>
      </c>
      <c r="C131" s="244"/>
      <c r="D131" s="237"/>
      <c r="E131" s="231">
        <v>290</v>
      </c>
      <c r="F131" s="54">
        <f t="shared" si="43"/>
        <v>543</v>
      </c>
      <c r="G131" s="240"/>
      <c r="H131" s="226"/>
      <c r="I131" s="62">
        <f t="shared" si="42"/>
        <v>0</v>
      </c>
      <c r="J131" s="130"/>
      <c r="K131" s="246"/>
      <c r="L131" s="67">
        <f t="shared" si="44"/>
        <v>170143.30000000075</v>
      </c>
    </row>
    <row r="132" spans="1:12" x14ac:dyDescent="0.3">
      <c r="A132" s="32">
        <v>46127</v>
      </c>
      <c r="B132" s="232" t="s">
        <v>641</v>
      </c>
      <c r="C132" s="244"/>
      <c r="D132" s="236"/>
      <c r="E132" s="231">
        <v>250</v>
      </c>
      <c r="F132" s="54">
        <f t="shared" si="43"/>
        <v>293</v>
      </c>
      <c r="G132" s="241"/>
      <c r="H132" s="226"/>
      <c r="I132" s="62">
        <f t="shared" si="42"/>
        <v>0</v>
      </c>
      <c r="J132" s="271"/>
      <c r="K132" s="246"/>
      <c r="L132" s="67">
        <f t="shared" si="44"/>
        <v>170143.30000000075</v>
      </c>
    </row>
    <row r="133" spans="1:12" x14ac:dyDescent="0.3">
      <c r="A133" s="32">
        <v>46127</v>
      </c>
      <c r="B133" s="232" t="s">
        <v>642</v>
      </c>
      <c r="C133" s="244">
        <v>170</v>
      </c>
      <c r="D133" s="237"/>
      <c r="E133" s="231"/>
      <c r="F133" s="107">
        <f t="shared" si="43"/>
        <v>463</v>
      </c>
      <c r="G133" s="241"/>
      <c r="H133" s="226"/>
      <c r="I133" s="62">
        <f t="shared" si="42"/>
        <v>0</v>
      </c>
      <c r="J133" s="248">
        <v>9200</v>
      </c>
      <c r="K133" s="246"/>
      <c r="L133" s="67">
        <f t="shared" si="44"/>
        <v>179343.30000000075</v>
      </c>
    </row>
    <row r="134" spans="1:12" x14ac:dyDescent="0.3">
      <c r="A134" s="32"/>
      <c r="B134" s="230"/>
      <c r="C134" s="112"/>
      <c r="D134" s="235"/>
      <c r="E134" s="231"/>
      <c r="F134" s="54">
        <f t="shared" ref="F134:F145" si="45">+F133+C134+D134-E134</f>
        <v>463</v>
      </c>
      <c r="G134" s="240"/>
      <c r="H134" s="226"/>
      <c r="I134" s="62">
        <f t="shared" ref="I134:I145" si="46">I133++G134-H134</f>
        <v>0</v>
      </c>
      <c r="J134" s="247"/>
      <c r="K134" s="246"/>
      <c r="L134" s="67">
        <f t="shared" ref="L134:L145" si="47">L133++J134-K134</f>
        <v>179343.30000000075</v>
      </c>
    </row>
    <row r="135" spans="1:12" x14ac:dyDescent="0.3">
      <c r="A135" s="32">
        <v>46128</v>
      </c>
      <c r="B135" s="234" t="s">
        <v>16</v>
      </c>
      <c r="C135" s="244"/>
      <c r="D135" s="236">
        <v>1500</v>
      </c>
      <c r="E135" s="231"/>
      <c r="F135" s="54">
        <f>+F134+C135+D135-E135</f>
        <v>1963</v>
      </c>
      <c r="G135" s="240"/>
      <c r="H135" s="226">
        <v>0</v>
      </c>
      <c r="I135" s="62">
        <f t="shared" ref="I135:I144" si="48">+I134+G135-H135</f>
        <v>0</v>
      </c>
      <c r="J135" s="247"/>
      <c r="K135" s="246"/>
      <c r="L135" s="67">
        <f>+L134+J135-K135</f>
        <v>179343.30000000075</v>
      </c>
    </row>
    <row r="136" spans="1:12" x14ac:dyDescent="0.3">
      <c r="A136" s="32">
        <v>46128</v>
      </c>
      <c r="B136" s="230" t="s">
        <v>643</v>
      </c>
      <c r="C136" s="244"/>
      <c r="D136" s="236"/>
      <c r="E136" s="231">
        <v>10</v>
      </c>
      <c r="F136" s="54">
        <f t="shared" ref="F136:F144" si="49">+F135+C136+D136-E136</f>
        <v>1953</v>
      </c>
      <c r="G136" s="241"/>
      <c r="H136" s="226"/>
      <c r="I136" s="62">
        <f t="shared" si="48"/>
        <v>0</v>
      </c>
      <c r="J136" s="247"/>
      <c r="K136" s="246"/>
      <c r="L136" s="67">
        <f t="shared" ref="L136:L144" si="50">+L135+J136-K136</f>
        <v>179343.30000000075</v>
      </c>
    </row>
    <row r="137" spans="1:12" x14ac:dyDescent="0.3">
      <c r="A137" s="32">
        <v>46128</v>
      </c>
      <c r="B137" s="230" t="s">
        <v>49</v>
      </c>
      <c r="C137" s="244"/>
      <c r="D137" s="237"/>
      <c r="E137" s="231"/>
      <c r="F137" s="54">
        <f t="shared" si="49"/>
        <v>1953</v>
      </c>
      <c r="G137" s="241"/>
      <c r="H137" s="226"/>
      <c r="I137" s="62">
        <f t="shared" si="48"/>
        <v>0</v>
      </c>
      <c r="J137" s="248"/>
      <c r="K137" s="246">
        <v>10000</v>
      </c>
      <c r="L137" s="67">
        <f t="shared" si="50"/>
        <v>169343.30000000075</v>
      </c>
    </row>
    <row r="138" spans="1:12" x14ac:dyDescent="0.3">
      <c r="A138" s="32">
        <v>46128</v>
      </c>
      <c r="B138" s="230" t="s">
        <v>644</v>
      </c>
      <c r="C138" s="244"/>
      <c r="D138" s="237"/>
      <c r="E138" s="231">
        <v>450</v>
      </c>
      <c r="F138" s="54">
        <f t="shared" si="49"/>
        <v>1503</v>
      </c>
      <c r="G138" s="241"/>
      <c r="H138" s="280"/>
      <c r="I138" s="62">
        <f t="shared" si="48"/>
        <v>0</v>
      </c>
      <c r="J138" s="37"/>
      <c r="K138" s="246"/>
      <c r="L138" s="67">
        <f t="shared" si="50"/>
        <v>169343.30000000075</v>
      </c>
    </row>
    <row r="139" spans="1:12" x14ac:dyDescent="0.3">
      <c r="A139" s="32">
        <v>46128</v>
      </c>
      <c r="B139" s="230" t="s">
        <v>645</v>
      </c>
      <c r="C139" s="244"/>
      <c r="D139" s="237"/>
      <c r="E139" s="231">
        <v>140</v>
      </c>
      <c r="F139" s="54">
        <f t="shared" si="49"/>
        <v>1363</v>
      </c>
      <c r="G139" s="240"/>
      <c r="H139" s="226"/>
      <c r="I139" s="62">
        <f t="shared" si="48"/>
        <v>0</v>
      </c>
      <c r="J139" s="229"/>
      <c r="K139" s="246"/>
      <c r="L139" s="67">
        <f t="shared" si="50"/>
        <v>169343.30000000075</v>
      </c>
    </row>
    <row r="140" spans="1:12" x14ac:dyDescent="0.3">
      <c r="A140" s="32">
        <v>46128</v>
      </c>
      <c r="B140" s="230" t="s">
        <v>646</v>
      </c>
      <c r="C140" s="244"/>
      <c r="D140" s="236"/>
      <c r="E140" s="231">
        <v>400</v>
      </c>
      <c r="F140" s="54">
        <f t="shared" si="49"/>
        <v>963</v>
      </c>
      <c r="G140" s="240"/>
      <c r="H140" s="226"/>
      <c r="I140" s="62">
        <f t="shared" si="48"/>
        <v>0</v>
      </c>
      <c r="J140" s="271"/>
      <c r="K140" s="246"/>
      <c r="L140" s="67">
        <f t="shared" si="50"/>
        <v>169343.30000000075</v>
      </c>
    </row>
    <row r="141" spans="1:12" x14ac:dyDescent="0.3">
      <c r="A141" s="32">
        <v>46128</v>
      </c>
      <c r="B141" s="220" t="s">
        <v>647</v>
      </c>
      <c r="C141" s="244"/>
      <c r="D141" s="236"/>
      <c r="E141" s="231">
        <v>28</v>
      </c>
      <c r="F141" s="54">
        <f t="shared" si="49"/>
        <v>935</v>
      </c>
      <c r="G141" s="240"/>
      <c r="H141" s="228"/>
      <c r="I141" s="62">
        <f t="shared" si="48"/>
        <v>0</v>
      </c>
      <c r="J141" s="266"/>
      <c r="K141" s="246"/>
      <c r="L141" s="67">
        <f t="shared" si="50"/>
        <v>169343.30000000075</v>
      </c>
    </row>
    <row r="142" spans="1:12" x14ac:dyDescent="0.3">
      <c r="A142" s="32">
        <v>46128</v>
      </c>
      <c r="B142" s="230" t="s">
        <v>648</v>
      </c>
      <c r="C142" s="245"/>
      <c r="D142" s="236"/>
      <c r="E142" s="231">
        <v>140</v>
      </c>
      <c r="F142" s="54">
        <f t="shared" si="49"/>
        <v>795</v>
      </c>
      <c r="G142" s="241"/>
      <c r="H142" s="226"/>
      <c r="I142" s="62">
        <f t="shared" si="48"/>
        <v>0</v>
      </c>
      <c r="J142" s="130"/>
      <c r="K142" s="246"/>
      <c r="L142" s="67">
        <f t="shared" si="50"/>
        <v>169343.30000000075</v>
      </c>
    </row>
    <row r="143" spans="1:12" x14ac:dyDescent="0.3">
      <c r="A143" s="32">
        <v>46128</v>
      </c>
      <c r="B143" s="230" t="s">
        <v>649</v>
      </c>
      <c r="C143" s="244"/>
      <c r="D143" s="236"/>
      <c r="E143" s="231">
        <v>489</v>
      </c>
      <c r="F143" s="54">
        <f t="shared" si="49"/>
        <v>306</v>
      </c>
      <c r="G143" s="240"/>
      <c r="H143" s="226"/>
      <c r="I143" s="62">
        <f t="shared" si="48"/>
        <v>0</v>
      </c>
      <c r="J143" s="264"/>
      <c r="K143" s="246"/>
      <c r="L143" s="67">
        <f t="shared" si="50"/>
        <v>169343.30000000075</v>
      </c>
    </row>
    <row r="144" spans="1:12" x14ac:dyDescent="0.3">
      <c r="A144" s="32">
        <v>46128</v>
      </c>
      <c r="B144" s="232" t="s">
        <v>650</v>
      </c>
      <c r="C144" s="244">
        <v>350</v>
      </c>
      <c r="D144" s="236"/>
      <c r="E144" s="231"/>
      <c r="F144" s="107">
        <f t="shared" si="49"/>
        <v>656</v>
      </c>
      <c r="G144" s="240"/>
      <c r="H144" s="226"/>
      <c r="I144" s="62">
        <f t="shared" si="48"/>
        <v>0</v>
      </c>
      <c r="J144" s="264"/>
      <c r="K144" s="246"/>
      <c r="L144" s="67">
        <f t="shared" si="50"/>
        <v>169343.30000000075</v>
      </c>
    </row>
    <row r="145" spans="1:12" x14ac:dyDescent="0.3">
      <c r="A145" s="32"/>
      <c r="B145" s="230"/>
      <c r="C145" s="244"/>
      <c r="D145" s="236"/>
      <c r="E145" s="231"/>
      <c r="F145" s="54">
        <f t="shared" si="45"/>
        <v>656</v>
      </c>
      <c r="G145" s="223"/>
      <c r="H145" s="221"/>
      <c r="I145" s="62">
        <f t="shared" si="46"/>
        <v>0</v>
      </c>
      <c r="J145" s="229"/>
      <c r="K145" s="246"/>
      <c r="L145" s="67">
        <f t="shared" si="47"/>
        <v>169343.30000000075</v>
      </c>
    </row>
    <row r="146" spans="1:12" x14ac:dyDescent="0.3">
      <c r="A146" s="32">
        <v>46129</v>
      </c>
      <c r="B146" s="234" t="s">
        <v>16</v>
      </c>
      <c r="C146" s="244"/>
      <c r="D146" s="236">
        <v>1000</v>
      </c>
      <c r="E146" s="231"/>
      <c r="F146" s="54">
        <f>+F145+C146+D146-E146</f>
        <v>1656</v>
      </c>
      <c r="G146" s="240"/>
      <c r="H146" s="226">
        <v>0</v>
      </c>
      <c r="I146" s="62">
        <f t="shared" ref="I146:I160" si="51">+I145+G146-H146</f>
        <v>0</v>
      </c>
      <c r="J146" s="247"/>
      <c r="K146" s="246"/>
      <c r="L146" s="67">
        <f>+L145+J146-K146</f>
        <v>169343.30000000075</v>
      </c>
    </row>
    <row r="147" spans="1:12" x14ac:dyDescent="0.3">
      <c r="A147" s="32">
        <v>46129</v>
      </c>
      <c r="B147" s="230" t="s">
        <v>234</v>
      </c>
      <c r="C147" s="244"/>
      <c r="D147" s="236"/>
      <c r="E147" s="231">
        <v>50</v>
      </c>
      <c r="F147" s="54">
        <f t="shared" ref="F147:F160" si="52">+F146+C147+D147-E147</f>
        <v>1606</v>
      </c>
      <c r="G147" s="241"/>
      <c r="H147" s="226"/>
      <c r="I147" s="62">
        <f t="shared" si="51"/>
        <v>0</v>
      </c>
      <c r="J147" s="247"/>
      <c r="K147" s="246"/>
      <c r="L147" s="67">
        <f t="shared" ref="L147:L160" si="53">+L146+J147-K147</f>
        <v>169343.30000000075</v>
      </c>
    </row>
    <row r="148" spans="1:12" x14ac:dyDescent="0.3">
      <c r="A148" s="32">
        <v>46129</v>
      </c>
      <c r="B148" s="230" t="s">
        <v>17</v>
      </c>
      <c r="C148" s="244"/>
      <c r="D148" s="237"/>
      <c r="E148" s="231">
        <v>60</v>
      </c>
      <c r="F148" s="54">
        <f t="shared" si="52"/>
        <v>1546</v>
      </c>
      <c r="G148" s="241"/>
      <c r="H148" s="226"/>
      <c r="I148" s="62">
        <f t="shared" si="51"/>
        <v>0</v>
      </c>
      <c r="J148" s="248"/>
      <c r="K148" s="246">
        <v>10000</v>
      </c>
      <c r="L148" s="67">
        <f t="shared" si="53"/>
        <v>159343.30000000075</v>
      </c>
    </row>
    <row r="149" spans="1:12" x14ac:dyDescent="0.3">
      <c r="A149" s="32">
        <v>46129</v>
      </c>
      <c r="B149" s="230" t="s">
        <v>651</v>
      </c>
      <c r="C149" s="244"/>
      <c r="D149" s="237"/>
      <c r="E149" s="231">
        <v>50</v>
      </c>
      <c r="F149" s="54">
        <f t="shared" si="52"/>
        <v>1496</v>
      </c>
      <c r="G149" s="241"/>
      <c r="H149" s="280"/>
      <c r="I149" s="62">
        <f t="shared" si="51"/>
        <v>0</v>
      </c>
      <c r="J149" s="37"/>
      <c r="K149" s="246"/>
      <c r="L149" s="67">
        <f t="shared" si="53"/>
        <v>159343.30000000075</v>
      </c>
    </row>
    <row r="150" spans="1:12" x14ac:dyDescent="0.3">
      <c r="A150" s="32">
        <v>46129</v>
      </c>
      <c r="B150" s="230" t="s">
        <v>652</v>
      </c>
      <c r="C150" s="244"/>
      <c r="D150" s="237"/>
      <c r="E150" s="231">
        <v>70</v>
      </c>
      <c r="F150" s="54">
        <f t="shared" si="52"/>
        <v>1426</v>
      </c>
      <c r="G150" s="240"/>
      <c r="H150" s="226"/>
      <c r="I150" s="62">
        <f t="shared" si="51"/>
        <v>0</v>
      </c>
      <c r="J150" s="229"/>
      <c r="K150" s="246"/>
      <c r="L150" s="67">
        <f t="shared" si="53"/>
        <v>159343.30000000075</v>
      </c>
    </row>
    <row r="151" spans="1:12" x14ac:dyDescent="0.3">
      <c r="A151" s="32">
        <v>46129</v>
      </c>
      <c r="B151" s="230" t="s">
        <v>653</v>
      </c>
      <c r="C151" s="244"/>
      <c r="D151" s="236"/>
      <c r="E151" s="231">
        <v>196</v>
      </c>
      <c r="F151" s="54">
        <f t="shared" si="52"/>
        <v>1230</v>
      </c>
      <c r="G151" s="240"/>
      <c r="H151" s="226"/>
      <c r="I151" s="62">
        <f t="shared" si="51"/>
        <v>0</v>
      </c>
      <c r="J151" s="271"/>
      <c r="K151" s="246"/>
      <c r="L151" s="67">
        <f t="shared" si="53"/>
        <v>159343.30000000075</v>
      </c>
    </row>
    <row r="152" spans="1:12" x14ac:dyDescent="0.3">
      <c r="A152" s="32">
        <v>46129</v>
      </c>
      <c r="B152" s="230" t="s">
        <v>654</v>
      </c>
      <c r="C152" s="244"/>
      <c r="D152" s="236"/>
      <c r="E152" s="231"/>
      <c r="F152" s="54">
        <f t="shared" si="52"/>
        <v>1230</v>
      </c>
      <c r="G152" s="240"/>
      <c r="H152" s="228"/>
      <c r="I152" s="62">
        <f t="shared" si="51"/>
        <v>0</v>
      </c>
      <c r="J152" s="266"/>
      <c r="K152" s="246">
        <v>15000</v>
      </c>
      <c r="L152" s="67">
        <f t="shared" si="53"/>
        <v>144343.30000000075</v>
      </c>
    </row>
    <row r="153" spans="1:12" x14ac:dyDescent="0.3">
      <c r="A153" s="32">
        <v>46129</v>
      </c>
      <c r="B153" s="222" t="s">
        <v>23</v>
      </c>
      <c r="C153" s="245"/>
      <c r="D153" s="236"/>
      <c r="E153" s="231">
        <v>250</v>
      </c>
      <c r="F153" s="54">
        <f t="shared" si="52"/>
        <v>980</v>
      </c>
      <c r="G153" s="241"/>
      <c r="H153" s="226"/>
      <c r="I153" s="62">
        <f t="shared" si="51"/>
        <v>0</v>
      </c>
      <c r="J153" s="130">
        <v>575000</v>
      </c>
      <c r="K153" s="246"/>
      <c r="L153" s="67">
        <f t="shared" si="53"/>
        <v>719343.30000000075</v>
      </c>
    </row>
    <row r="154" spans="1:12" x14ac:dyDescent="0.3">
      <c r="A154" s="32">
        <v>46129</v>
      </c>
      <c r="B154" s="230" t="s">
        <v>655</v>
      </c>
      <c r="C154" s="244"/>
      <c r="D154" s="236"/>
      <c r="E154" s="231"/>
      <c r="F154" s="54">
        <f t="shared" si="52"/>
        <v>980</v>
      </c>
      <c r="G154" s="240"/>
      <c r="H154" s="226"/>
      <c r="I154" s="62">
        <f t="shared" si="51"/>
        <v>0</v>
      </c>
      <c r="J154" s="264"/>
      <c r="K154" s="246">
        <v>618500</v>
      </c>
      <c r="L154" s="67">
        <f t="shared" si="53"/>
        <v>100843.30000000075</v>
      </c>
    </row>
    <row r="155" spans="1:12" x14ac:dyDescent="0.3">
      <c r="A155" s="32">
        <v>46129</v>
      </c>
      <c r="B155" s="230" t="s">
        <v>656</v>
      </c>
      <c r="C155" s="244"/>
      <c r="D155" s="236"/>
      <c r="E155" s="231">
        <v>120</v>
      </c>
      <c r="F155" s="54">
        <f t="shared" si="52"/>
        <v>860</v>
      </c>
      <c r="G155" s="240"/>
      <c r="H155" s="226"/>
      <c r="I155" s="62">
        <f t="shared" si="51"/>
        <v>0</v>
      </c>
      <c r="J155" s="264"/>
      <c r="K155" s="246"/>
      <c r="L155" s="67">
        <f t="shared" si="53"/>
        <v>100843.30000000075</v>
      </c>
    </row>
    <row r="156" spans="1:12" x14ac:dyDescent="0.3">
      <c r="A156" s="32">
        <v>46129</v>
      </c>
      <c r="B156" s="230" t="s">
        <v>52</v>
      </c>
      <c r="C156" s="244"/>
      <c r="D156" s="236"/>
      <c r="E156" s="231"/>
      <c r="F156" s="54">
        <f t="shared" si="52"/>
        <v>860</v>
      </c>
      <c r="G156" s="240"/>
      <c r="H156" s="226"/>
      <c r="I156" s="62">
        <f t="shared" si="51"/>
        <v>0</v>
      </c>
      <c r="J156" s="248"/>
      <c r="K156" s="246">
        <v>10000</v>
      </c>
      <c r="L156" s="67">
        <f t="shared" si="53"/>
        <v>90843.300000000745</v>
      </c>
    </row>
    <row r="157" spans="1:12" x14ac:dyDescent="0.3">
      <c r="A157" s="32">
        <v>46129</v>
      </c>
      <c r="B157" s="232" t="s">
        <v>657</v>
      </c>
      <c r="C157" s="244">
        <v>220</v>
      </c>
      <c r="D157" s="237"/>
      <c r="E157" s="231"/>
      <c r="F157" s="54">
        <f t="shared" si="52"/>
        <v>1080</v>
      </c>
      <c r="G157" s="240"/>
      <c r="H157" s="226"/>
      <c r="I157" s="62">
        <f t="shared" si="51"/>
        <v>0</v>
      </c>
      <c r="J157" s="130"/>
      <c r="K157" s="246"/>
      <c r="L157" s="67">
        <f t="shared" si="53"/>
        <v>90843.300000000745</v>
      </c>
    </row>
    <row r="158" spans="1:12" x14ac:dyDescent="0.3">
      <c r="A158" s="32">
        <v>46129</v>
      </c>
      <c r="B158" s="232" t="s">
        <v>658</v>
      </c>
      <c r="C158" s="244">
        <v>700</v>
      </c>
      <c r="D158" s="236"/>
      <c r="E158" s="231"/>
      <c r="F158" s="54">
        <f t="shared" si="52"/>
        <v>1780</v>
      </c>
      <c r="G158" s="241"/>
      <c r="H158" s="226"/>
      <c r="I158" s="62">
        <f t="shared" si="51"/>
        <v>0</v>
      </c>
      <c r="J158" s="271"/>
      <c r="K158" s="246"/>
      <c r="L158" s="67">
        <f t="shared" si="53"/>
        <v>90843.300000000745</v>
      </c>
    </row>
    <row r="159" spans="1:12" x14ac:dyDescent="0.3">
      <c r="A159" s="32">
        <v>46129</v>
      </c>
      <c r="B159" s="232" t="s">
        <v>659</v>
      </c>
      <c r="C159" s="244">
        <v>430</v>
      </c>
      <c r="D159" s="237"/>
      <c r="E159" s="231"/>
      <c r="F159" s="54">
        <f t="shared" si="52"/>
        <v>2210</v>
      </c>
      <c r="G159" s="241"/>
      <c r="H159" s="226"/>
      <c r="I159" s="62">
        <f t="shared" si="51"/>
        <v>0</v>
      </c>
      <c r="J159" s="248">
        <v>36200</v>
      </c>
      <c r="K159" s="246"/>
      <c r="L159" s="67">
        <f t="shared" si="53"/>
        <v>127043.30000000075</v>
      </c>
    </row>
    <row r="160" spans="1:12" x14ac:dyDescent="0.3">
      <c r="A160" s="32">
        <v>46129</v>
      </c>
      <c r="B160" s="230" t="s">
        <v>27</v>
      </c>
      <c r="C160" s="239"/>
      <c r="D160" s="237"/>
      <c r="E160" s="231">
        <v>40</v>
      </c>
      <c r="F160" s="107">
        <f t="shared" si="52"/>
        <v>2170</v>
      </c>
      <c r="G160" s="242"/>
      <c r="H160" s="227"/>
      <c r="I160" s="62">
        <f t="shared" si="51"/>
        <v>0</v>
      </c>
      <c r="J160" s="37"/>
      <c r="K160" s="246"/>
      <c r="L160" s="67">
        <f t="shared" si="53"/>
        <v>127043.30000000075</v>
      </c>
    </row>
    <row r="161" spans="1:12" x14ac:dyDescent="0.3">
      <c r="A161" s="32"/>
      <c r="B161" s="232"/>
      <c r="C161" s="244"/>
      <c r="D161" s="236"/>
      <c r="E161" s="231"/>
      <c r="F161" s="54">
        <f t="shared" ref="F161" si="54">+F160+C161+D161-E161</f>
        <v>2170</v>
      </c>
      <c r="G161" s="240"/>
      <c r="H161" s="226"/>
      <c r="I161" s="62">
        <f t="shared" ref="I161" si="55">I160++G161-H161</f>
        <v>0</v>
      </c>
      <c r="J161" s="229"/>
      <c r="K161" s="246"/>
      <c r="L161" s="67">
        <f t="shared" ref="L161" si="56">L160++J161-K161</f>
        <v>127043.30000000075</v>
      </c>
    </row>
    <row r="162" spans="1:12" x14ac:dyDescent="0.3">
      <c r="A162" s="32">
        <v>46130</v>
      </c>
      <c r="B162" s="232" t="s">
        <v>660</v>
      </c>
      <c r="C162" s="244">
        <v>146</v>
      </c>
      <c r="D162" s="236"/>
      <c r="E162" s="231"/>
      <c r="F162" s="54">
        <f>+F161+C162+D162-E162</f>
        <v>2316</v>
      </c>
      <c r="G162" s="240"/>
      <c r="H162" s="226">
        <v>0</v>
      </c>
      <c r="I162" s="62">
        <f t="shared" ref="I162:I164" si="57">+I161+G162-H162</f>
        <v>0</v>
      </c>
      <c r="J162" s="247"/>
      <c r="K162" s="246"/>
      <c r="L162" s="67">
        <f>+L161+J162-K162</f>
        <v>127043.30000000075</v>
      </c>
    </row>
    <row r="163" spans="1:12" x14ac:dyDescent="0.3">
      <c r="A163" s="32">
        <v>46130</v>
      </c>
      <c r="B163" s="230" t="s">
        <v>661</v>
      </c>
      <c r="C163" s="244"/>
      <c r="D163" s="236"/>
      <c r="E163" s="231">
        <v>50</v>
      </c>
      <c r="F163" s="54">
        <f t="shared" ref="F163:F164" si="58">+F162+C163+D163-E163</f>
        <v>2266</v>
      </c>
      <c r="G163" s="241"/>
      <c r="H163" s="226"/>
      <c r="I163" s="62">
        <f t="shared" si="57"/>
        <v>0</v>
      </c>
      <c r="J163" s="247"/>
      <c r="K163" s="246"/>
      <c r="L163" s="67">
        <f t="shared" ref="L163:L164" si="59">+L162+J163-K163</f>
        <v>127043.30000000075</v>
      </c>
    </row>
    <row r="164" spans="1:12" x14ac:dyDescent="0.3">
      <c r="A164" s="32">
        <v>46130</v>
      </c>
      <c r="B164" s="230" t="s">
        <v>662</v>
      </c>
      <c r="C164" s="244"/>
      <c r="D164" s="237"/>
      <c r="E164" s="231"/>
      <c r="F164" s="54">
        <f t="shared" si="58"/>
        <v>2266</v>
      </c>
      <c r="G164" s="241"/>
      <c r="H164" s="226"/>
      <c r="I164" s="62">
        <f t="shared" si="57"/>
        <v>0</v>
      </c>
      <c r="J164" s="248"/>
      <c r="K164" s="246">
        <v>15000</v>
      </c>
      <c r="L164" s="67">
        <f t="shared" si="59"/>
        <v>112043.30000000075</v>
      </c>
    </row>
    <row r="165" spans="1:12" x14ac:dyDescent="0.3">
      <c r="A165" s="32">
        <v>46130</v>
      </c>
      <c r="B165" s="230" t="s">
        <v>46</v>
      </c>
      <c r="C165" s="245"/>
      <c r="D165" s="237"/>
      <c r="E165" s="235">
        <v>50</v>
      </c>
      <c r="F165" s="107">
        <f t="shared" ref="F165" si="60">+F164+C165+D165-E165</f>
        <v>2216</v>
      </c>
      <c r="G165" s="240"/>
      <c r="H165" s="226"/>
      <c r="I165" s="62">
        <f t="shared" ref="I165" si="61">I164++G165-H165</f>
        <v>0</v>
      </c>
      <c r="J165" s="233"/>
      <c r="K165" s="246"/>
      <c r="L165" s="67">
        <f t="shared" ref="L165" si="62">L164++J165-K165</f>
        <v>112043.30000000075</v>
      </c>
    </row>
    <row r="166" spans="1:12" x14ac:dyDescent="0.3">
      <c r="A166" s="32">
        <v>46132</v>
      </c>
      <c r="B166" s="234" t="s">
        <v>16</v>
      </c>
      <c r="C166" s="244"/>
      <c r="D166" s="236">
        <v>5000</v>
      </c>
      <c r="E166" s="231"/>
      <c r="F166" s="54">
        <f>+F165+C166+D166-E166</f>
        <v>7216</v>
      </c>
      <c r="G166" s="240"/>
      <c r="H166" s="226">
        <v>0</v>
      </c>
      <c r="I166" s="62">
        <f t="shared" ref="I166:I184" si="63">+I165+G166-H166</f>
        <v>0</v>
      </c>
      <c r="J166" s="247"/>
      <c r="K166" s="246"/>
      <c r="L166" s="67">
        <f>+L165+J166-K166</f>
        <v>112043.30000000075</v>
      </c>
    </row>
    <row r="167" spans="1:12" x14ac:dyDescent="0.3">
      <c r="A167" s="32">
        <v>46132</v>
      </c>
      <c r="B167" s="230" t="s">
        <v>20</v>
      </c>
      <c r="C167" s="244"/>
      <c r="D167" s="236"/>
      <c r="E167" s="231">
        <v>100</v>
      </c>
      <c r="F167" s="54">
        <f t="shared" ref="F167:F184" si="64">+F166+C167+D167-E167</f>
        <v>7116</v>
      </c>
      <c r="G167" s="241"/>
      <c r="H167" s="226"/>
      <c r="I167" s="62">
        <f t="shared" si="63"/>
        <v>0</v>
      </c>
      <c r="J167" s="247"/>
      <c r="K167" s="246"/>
      <c r="L167" s="67">
        <f t="shared" ref="L167:L184" si="65">+L166+J167-K167</f>
        <v>112043.30000000075</v>
      </c>
    </row>
    <row r="168" spans="1:12" x14ac:dyDescent="0.3">
      <c r="A168" s="32">
        <v>46132</v>
      </c>
      <c r="B168" s="230" t="s">
        <v>48</v>
      </c>
      <c r="C168" s="244"/>
      <c r="D168" s="237"/>
      <c r="E168" s="231">
        <v>70</v>
      </c>
      <c r="F168" s="54">
        <f t="shared" si="64"/>
        <v>7046</v>
      </c>
      <c r="G168" s="241"/>
      <c r="H168" s="226"/>
      <c r="I168" s="62">
        <f t="shared" si="63"/>
        <v>0</v>
      </c>
      <c r="J168" s="248"/>
      <c r="K168" s="246"/>
      <c r="L168" s="67">
        <f t="shared" si="65"/>
        <v>112043.30000000075</v>
      </c>
    </row>
    <row r="169" spans="1:12" x14ac:dyDescent="0.3">
      <c r="A169" s="32">
        <v>46132</v>
      </c>
      <c r="B169" s="230" t="s">
        <v>663</v>
      </c>
      <c r="C169" s="244"/>
      <c r="D169" s="237"/>
      <c r="E169" s="231">
        <v>240</v>
      </c>
      <c r="F169" s="54">
        <f t="shared" si="64"/>
        <v>6806</v>
      </c>
      <c r="G169" s="241"/>
      <c r="H169" s="280"/>
      <c r="I169" s="62">
        <f t="shared" si="63"/>
        <v>0</v>
      </c>
      <c r="J169" s="37"/>
      <c r="K169" s="246"/>
      <c r="L169" s="67">
        <f t="shared" si="65"/>
        <v>112043.30000000075</v>
      </c>
    </row>
    <row r="170" spans="1:12" x14ac:dyDescent="0.3">
      <c r="A170" s="32">
        <v>46132</v>
      </c>
      <c r="B170" s="230" t="s">
        <v>523</v>
      </c>
      <c r="C170" s="244"/>
      <c r="D170" s="237"/>
      <c r="E170" s="231">
        <v>70</v>
      </c>
      <c r="F170" s="54">
        <f t="shared" si="64"/>
        <v>6736</v>
      </c>
      <c r="G170" s="240"/>
      <c r="H170" s="226"/>
      <c r="I170" s="62">
        <f t="shared" si="63"/>
        <v>0</v>
      </c>
      <c r="J170" s="229"/>
      <c r="K170" s="246"/>
      <c r="L170" s="67">
        <f t="shared" si="65"/>
        <v>112043.30000000075</v>
      </c>
    </row>
    <row r="171" spans="1:12" x14ac:dyDescent="0.3">
      <c r="A171" s="32">
        <v>46132</v>
      </c>
      <c r="B171" s="230" t="s">
        <v>524</v>
      </c>
      <c r="C171" s="244"/>
      <c r="D171" s="236"/>
      <c r="E171" s="231">
        <v>10</v>
      </c>
      <c r="F171" s="54">
        <f t="shared" si="64"/>
        <v>6726</v>
      </c>
      <c r="G171" s="240"/>
      <c r="H171" s="226"/>
      <c r="I171" s="62">
        <f t="shared" si="63"/>
        <v>0</v>
      </c>
      <c r="J171" s="271"/>
      <c r="K171" s="246"/>
      <c r="L171" s="67">
        <f t="shared" si="65"/>
        <v>112043.30000000075</v>
      </c>
    </row>
    <row r="172" spans="1:12" x14ac:dyDescent="0.3">
      <c r="A172" s="32">
        <v>46132</v>
      </c>
      <c r="B172" s="230" t="s">
        <v>28</v>
      </c>
      <c r="C172" s="244"/>
      <c r="D172" s="236"/>
      <c r="E172" s="231">
        <v>50</v>
      </c>
      <c r="F172" s="54">
        <f t="shared" si="64"/>
        <v>6676</v>
      </c>
      <c r="G172" s="240"/>
      <c r="H172" s="228"/>
      <c r="I172" s="62">
        <f t="shared" si="63"/>
        <v>0</v>
      </c>
      <c r="J172" s="266"/>
      <c r="K172" s="246"/>
      <c r="L172" s="67">
        <f t="shared" si="65"/>
        <v>112043.30000000075</v>
      </c>
    </row>
    <row r="173" spans="1:12" x14ac:dyDescent="0.3">
      <c r="A173" s="32">
        <v>46132</v>
      </c>
      <c r="B173" s="230" t="s">
        <v>65</v>
      </c>
      <c r="C173" s="245"/>
      <c r="D173" s="236"/>
      <c r="E173" s="231"/>
      <c r="F173" s="54">
        <f t="shared" si="64"/>
        <v>6676</v>
      </c>
      <c r="G173" s="241"/>
      <c r="H173" s="226"/>
      <c r="I173" s="62">
        <f t="shared" si="63"/>
        <v>0</v>
      </c>
      <c r="J173" s="130"/>
      <c r="K173" s="246">
        <v>10000</v>
      </c>
      <c r="L173" s="67">
        <f t="shared" si="65"/>
        <v>102043.30000000075</v>
      </c>
    </row>
    <row r="174" spans="1:12" x14ac:dyDescent="0.3">
      <c r="A174" s="32">
        <v>46132</v>
      </c>
      <c r="B174" s="230" t="s">
        <v>416</v>
      </c>
      <c r="C174" s="244"/>
      <c r="D174" s="236"/>
      <c r="E174" s="231">
        <v>300</v>
      </c>
      <c r="F174" s="54">
        <f t="shared" si="64"/>
        <v>6376</v>
      </c>
      <c r="G174" s="240"/>
      <c r="H174" s="226"/>
      <c r="I174" s="62">
        <f t="shared" si="63"/>
        <v>0</v>
      </c>
      <c r="J174" s="264"/>
      <c r="K174" s="246"/>
      <c r="L174" s="67">
        <f t="shared" si="65"/>
        <v>102043.30000000075</v>
      </c>
    </row>
    <row r="175" spans="1:12" x14ac:dyDescent="0.3">
      <c r="A175" s="32">
        <v>46132</v>
      </c>
      <c r="B175" s="230" t="s">
        <v>664</v>
      </c>
      <c r="C175" s="244"/>
      <c r="D175" s="236"/>
      <c r="E175" s="231">
        <v>40</v>
      </c>
      <c r="F175" s="54">
        <f t="shared" si="64"/>
        <v>6336</v>
      </c>
      <c r="G175" s="240"/>
      <c r="H175" s="226"/>
      <c r="I175" s="62">
        <f t="shared" si="63"/>
        <v>0</v>
      </c>
      <c r="J175" s="264"/>
      <c r="K175" s="246"/>
      <c r="L175" s="67">
        <f t="shared" si="65"/>
        <v>102043.30000000075</v>
      </c>
    </row>
    <row r="176" spans="1:12" x14ac:dyDescent="0.3">
      <c r="A176" s="32">
        <v>46132</v>
      </c>
      <c r="B176" s="230" t="s">
        <v>665</v>
      </c>
      <c r="C176" s="244"/>
      <c r="D176" s="236"/>
      <c r="E176" s="231">
        <v>120</v>
      </c>
      <c r="F176" s="54">
        <f t="shared" si="64"/>
        <v>6216</v>
      </c>
      <c r="G176" s="240"/>
      <c r="H176" s="226"/>
      <c r="I176" s="62">
        <f t="shared" si="63"/>
        <v>0</v>
      </c>
      <c r="J176" s="248"/>
      <c r="K176" s="246">
        <v>80000</v>
      </c>
      <c r="L176" s="67">
        <f t="shared" si="65"/>
        <v>22043.300000000745</v>
      </c>
    </row>
    <row r="177" spans="1:12" x14ac:dyDescent="0.3">
      <c r="A177" s="32">
        <v>46132</v>
      </c>
      <c r="B177" s="232" t="s">
        <v>666</v>
      </c>
      <c r="C177" s="244"/>
      <c r="D177" s="237"/>
      <c r="E177" s="231">
        <v>2500</v>
      </c>
      <c r="F177" s="54">
        <f t="shared" si="64"/>
        <v>3716</v>
      </c>
      <c r="G177" s="240"/>
      <c r="H177" s="226"/>
      <c r="I177" s="62">
        <f t="shared" si="63"/>
        <v>0</v>
      </c>
      <c r="J177" s="130"/>
      <c r="K177" s="246"/>
      <c r="L177" s="67">
        <f t="shared" si="65"/>
        <v>22043.300000000745</v>
      </c>
    </row>
    <row r="178" spans="1:12" x14ac:dyDescent="0.3">
      <c r="A178" s="32">
        <v>46132</v>
      </c>
      <c r="B178" s="230" t="s">
        <v>667</v>
      </c>
      <c r="C178" s="244"/>
      <c r="D178" s="236"/>
      <c r="E178" s="231">
        <v>600</v>
      </c>
      <c r="F178" s="54">
        <f t="shared" si="64"/>
        <v>3116</v>
      </c>
      <c r="G178" s="241"/>
      <c r="H178" s="226"/>
      <c r="I178" s="62">
        <f t="shared" si="63"/>
        <v>0</v>
      </c>
      <c r="J178" s="271"/>
      <c r="K178" s="246"/>
      <c r="L178" s="67">
        <f t="shared" si="65"/>
        <v>22043.300000000745</v>
      </c>
    </row>
    <row r="179" spans="1:12" x14ac:dyDescent="0.3">
      <c r="A179" s="32">
        <v>46132</v>
      </c>
      <c r="B179" s="220" t="s">
        <v>668</v>
      </c>
      <c r="C179" s="244"/>
      <c r="D179" s="237"/>
      <c r="E179" s="231">
        <v>182</v>
      </c>
      <c r="F179" s="54">
        <f t="shared" si="64"/>
        <v>2934</v>
      </c>
      <c r="G179" s="241"/>
      <c r="H179" s="226"/>
      <c r="I179" s="62">
        <f t="shared" si="63"/>
        <v>0</v>
      </c>
      <c r="J179" s="248"/>
      <c r="K179" s="246"/>
      <c r="L179" s="67">
        <f t="shared" si="65"/>
        <v>22043.300000000745</v>
      </c>
    </row>
    <row r="180" spans="1:12" x14ac:dyDescent="0.3">
      <c r="A180" s="32">
        <v>46132</v>
      </c>
      <c r="B180" s="230" t="s">
        <v>34</v>
      </c>
      <c r="C180" s="239"/>
      <c r="D180" s="237"/>
      <c r="E180" s="231">
        <v>80</v>
      </c>
      <c r="F180" s="54">
        <f t="shared" si="64"/>
        <v>2854</v>
      </c>
      <c r="G180" s="242"/>
      <c r="H180" s="227"/>
      <c r="I180" s="62">
        <f t="shared" si="63"/>
        <v>0</v>
      </c>
      <c r="J180" s="37"/>
      <c r="K180" s="246"/>
      <c r="L180" s="67">
        <f t="shared" si="65"/>
        <v>22043.300000000745</v>
      </c>
    </row>
    <row r="181" spans="1:12" x14ac:dyDescent="0.3">
      <c r="A181" s="32">
        <v>46132</v>
      </c>
      <c r="B181" s="230" t="s">
        <v>25</v>
      </c>
      <c r="C181" s="244"/>
      <c r="D181" s="236"/>
      <c r="E181" s="231">
        <v>20</v>
      </c>
      <c r="F181" s="54">
        <f t="shared" si="64"/>
        <v>2834</v>
      </c>
      <c r="G181" s="243"/>
      <c r="H181" s="227"/>
      <c r="I181" s="62">
        <f t="shared" si="63"/>
        <v>0</v>
      </c>
      <c r="J181" s="264"/>
      <c r="K181" s="246"/>
      <c r="L181" s="67">
        <f t="shared" si="65"/>
        <v>22043.300000000745</v>
      </c>
    </row>
    <row r="182" spans="1:12" x14ac:dyDescent="0.3">
      <c r="A182" s="32">
        <v>46132</v>
      </c>
      <c r="B182" s="230" t="s">
        <v>669</v>
      </c>
      <c r="C182" s="244"/>
      <c r="D182" s="236"/>
      <c r="E182" s="231">
        <v>40</v>
      </c>
      <c r="F182" s="54">
        <f t="shared" si="64"/>
        <v>2794</v>
      </c>
      <c r="G182" s="223"/>
      <c r="H182" s="221"/>
      <c r="I182" s="62">
        <f t="shared" si="63"/>
        <v>0</v>
      </c>
      <c r="J182" s="264"/>
      <c r="K182" s="246"/>
      <c r="L182" s="67">
        <f t="shared" si="65"/>
        <v>22043.300000000745</v>
      </c>
    </row>
    <row r="183" spans="1:12" x14ac:dyDescent="0.3">
      <c r="A183" s="32">
        <v>46132</v>
      </c>
      <c r="B183" s="234" t="s">
        <v>23</v>
      </c>
      <c r="C183" s="244"/>
      <c r="D183" s="236"/>
      <c r="E183" s="231">
        <v>250</v>
      </c>
      <c r="F183" s="54">
        <f t="shared" si="64"/>
        <v>2544</v>
      </c>
      <c r="G183" s="223"/>
      <c r="H183" s="227"/>
      <c r="I183" s="62">
        <f t="shared" si="63"/>
        <v>0</v>
      </c>
      <c r="J183" s="271">
        <v>575000</v>
      </c>
      <c r="K183" s="246"/>
      <c r="L183" s="67">
        <f t="shared" si="65"/>
        <v>597043.30000000075</v>
      </c>
    </row>
    <row r="184" spans="1:12" x14ac:dyDescent="0.3">
      <c r="A184" s="32">
        <v>46132</v>
      </c>
      <c r="B184" s="230" t="s">
        <v>670</v>
      </c>
      <c r="C184" s="239"/>
      <c r="D184" s="236"/>
      <c r="E184" s="231"/>
      <c r="F184" s="107">
        <f t="shared" si="64"/>
        <v>2544</v>
      </c>
      <c r="G184" s="223"/>
      <c r="H184" s="227"/>
      <c r="I184" s="62">
        <f t="shared" si="63"/>
        <v>0</v>
      </c>
      <c r="J184" s="229"/>
      <c r="K184" s="246">
        <v>413500</v>
      </c>
      <c r="L184" s="67">
        <f t="shared" si="65"/>
        <v>183543.30000000075</v>
      </c>
    </row>
    <row r="185" spans="1:12" x14ac:dyDescent="0.3">
      <c r="A185" s="32"/>
      <c r="B185" s="230"/>
      <c r="C185" s="239"/>
      <c r="D185" s="235"/>
      <c r="E185" s="231"/>
      <c r="F185" s="54">
        <f t="shared" ref="F185" si="66">+F184+C185+D185-E185</f>
        <v>2544</v>
      </c>
      <c r="G185" s="240"/>
      <c r="H185" s="226"/>
      <c r="I185" s="62">
        <f t="shared" ref="I185" si="67">I184++G185-H185</f>
        <v>0</v>
      </c>
      <c r="J185" s="247"/>
      <c r="K185" s="246"/>
      <c r="L185" s="67">
        <f t="shared" ref="L185" si="68">L184++J185-K185</f>
        <v>183543.30000000075</v>
      </c>
    </row>
    <row r="186" spans="1:12" x14ac:dyDescent="0.3">
      <c r="A186" s="32">
        <v>46133</v>
      </c>
      <c r="B186" s="230" t="s">
        <v>671</v>
      </c>
      <c r="C186" s="244"/>
      <c r="D186" s="236"/>
      <c r="E186" s="231"/>
      <c r="F186" s="54">
        <f>+F185+C186+D186-E186</f>
        <v>2544</v>
      </c>
      <c r="G186" s="240"/>
      <c r="H186" s="226">
        <v>0</v>
      </c>
      <c r="I186" s="62">
        <f t="shared" ref="I186:I194" si="69">+I185+G186-H186</f>
        <v>0</v>
      </c>
      <c r="J186" s="247"/>
      <c r="K186" s="246">
        <v>20000</v>
      </c>
      <c r="L186" s="67">
        <f>+L185+J186-K186</f>
        <v>163543.30000000075</v>
      </c>
    </row>
    <row r="187" spans="1:12" x14ac:dyDescent="0.3">
      <c r="A187" s="32">
        <v>46133</v>
      </c>
      <c r="B187" s="230" t="s">
        <v>81</v>
      </c>
      <c r="C187" s="244"/>
      <c r="D187" s="236"/>
      <c r="E187" s="231"/>
      <c r="F187" s="54">
        <f t="shared" ref="F187:F194" si="70">+F186+C187+D187-E187</f>
        <v>2544</v>
      </c>
      <c r="G187" s="241"/>
      <c r="H187" s="226"/>
      <c r="I187" s="62">
        <f t="shared" si="69"/>
        <v>0</v>
      </c>
      <c r="J187" s="247"/>
      <c r="K187" s="246">
        <v>20000</v>
      </c>
      <c r="L187" s="67">
        <f t="shared" ref="L187:L194" si="71">+L186+J187-K187</f>
        <v>143543.30000000075</v>
      </c>
    </row>
    <row r="188" spans="1:12" x14ac:dyDescent="0.3">
      <c r="A188" s="32">
        <v>46133</v>
      </c>
      <c r="B188" s="230" t="s">
        <v>672</v>
      </c>
      <c r="C188" s="244"/>
      <c r="D188" s="237"/>
      <c r="E188" s="231">
        <v>144</v>
      </c>
      <c r="F188" s="54">
        <f t="shared" si="70"/>
        <v>2400</v>
      </c>
      <c r="G188" s="241"/>
      <c r="H188" s="226"/>
      <c r="I188" s="62">
        <f t="shared" si="69"/>
        <v>0</v>
      </c>
      <c r="J188" s="248"/>
      <c r="K188" s="246"/>
      <c r="L188" s="67">
        <f t="shared" si="71"/>
        <v>143543.30000000075</v>
      </c>
    </row>
    <row r="189" spans="1:12" x14ac:dyDescent="0.3">
      <c r="A189" s="32">
        <v>46133</v>
      </c>
      <c r="B189" s="230" t="s">
        <v>673</v>
      </c>
      <c r="C189" s="244"/>
      <c r="D189" s="237"/>
      <c r="E189" s="231">
        <v>300</v>
      </c>
      <c r="F189" s="54">
        <f t="shared" si="70"/>
        <v>2100</v>
      </c>
      <c r="G189" s="241"/>
      <c r="H189" s="280"/>
      <c r="I189" s="62">
        <f t="shared" si="69"/>
        <v>0</v>
      </c>
      <c r="J189" s="37"/>
      <c r="K189" s="246"/>
      <c r="L189" s="67">
        <f t="shared" si="71"/>
        <v>143543.30000000075</v>
      </c>
    </row>
    <row r="190" spans="1:12" x14ac:dyDescent="0.3">
      <c r="A190" s="32">
        <v>46133</v>
      </c>
      <c r="B190" s="230" t="s">
        <v>674</v>
      </c>
      <c r="C190" s="244"/>
      <c r="D190" s="237"/>
      <c r="E190" s="231">
        <v>500</v>
      </c>
      <c r="F190" s="54">
        <f t="shared" si="70"/>
        <v>1600</v>
      </c>
      <c r="G190" s="240"/>
      <c r="H190" s="226"/>
      <c r="I190" s="62">
        <f t="shared" si="69"/>
        <v>0</v>
      </c>
      <c r="J190" s="229"/>
      <c r="K190" s="246"/>
      <c r="L190" s="67">
        <f t="shared" si="71"/>
        <v>143543.30000000075</v>
      </c>
    </row>
    <row r="191" spans="1:12" x14ac:dyDescent="0.3">
      <c r="A191" s="32">
        <v>46133</v>
      </c>
      <c r="B191" s="230" t="s">
        <v>675</v>
      </c>
      <c r="C191" s="244"/>
      <c r="D191" s="236"/>
      <c r="E191" s="231">
        <v>120</v>
      </c>
      <c r="F191" s="54">
        <f t="shared" si="70"/>
        <v>1480</v>
      </c>
      <c r="G191" s="240"/>
      <c r="H191" s="226"/>
      <c r="I191" s="62">
        <f t="shared" si="69"/>
        <v>0</v>
      </c>
      <c r="J191" s="271"/>
      <c r="K191" s="246"/>
      <c r="L191" s="67">
        <f t="shared" si="71"/>
        <v>143543.30000000075</v>
      </c>
    </row>
    <row r="192" spans="1:12" x14ac:dyDescent="0.3">
      <c r="A192" s="32">
        <v>46133</v>
      </c>
      <c r="B192" s="222" t="s">
        <v>23</v>
      </c>
      <c r="C192" s="244"/>
      <c r="D192" s="236"/>
      <c r="E192" s="231">
        <v>100</v>
      </c>
      <c r="F192" s="54">
        <f t="shared" si="70"/>
        <v>1380</v>
      </c>
      <c r="G192" s="240"/>
      <c r="H192" s="228"/>
      <c r="I192" s="62">
        <f t="shared" si="69"/>
        <v>0</v>
      </c>
      <c r="J192" s="266">
        <v>225000</v>
      </c>
      <c r="K192" s="246"/>
      <c r="L192" s="67">
        <f t="shared" si="71"/>
        <v>368543.30000000075</v>
      </c>
    </row>
    <row r="193" spans="1:12" x14ac:dyDescent="0.3">
      <c r="A193" s="32">
        <v>46133</v>
      </c>
      <c r="B193" s="230" t="s">
        <v>676</v>
      </c>
      <c r="C193" s="245"/>
      <c r="D193" s="236"/>
      <c r="E193" s="231"/>
      <c r="F193" s="54">
        <f t="shared" si="70"/>
        <v>1380</v>
      </c>
      <c r="G193" s="241"/>
      <c r="H193" s="226"/>
      <c r="I193" s="62">
        <f t="shared" si="69"/>
        <v>0</v>
      </c>
      <c r="J193" s="130"/>
      <c r="K193" s="246">
        <v>181500</v>
      </c>
      <c r="L193" s="67">
        <f t="shared" si="71"/>
        <v>187043.30000000075</v>
      </c>
    </row>
    <row r="194" spans="1:12" x14ac:dyDescent="0.3">
      <c r="A194" s="32">
        <v>46133</v>
      </c>
      <c r="B194" s="230" t="s">
        <v>677</v>
      </c>
      <c r="C194" s="244"/>
      <c r="D194" s="236"/>
      <c r="E194" s="231">
        <v>40</v>
      </c>
      <c r="F194" s="107">
        <f t="shared" si="70"/>
        <v>1340</v>
      </c>
      <c r="G194" s="240"/>
      <c r="H194" s="226"/>
      <c r="I194" s="62">
        <f t="shared" si="69"/>
        <v>0</v>
      </c>
      <c r="J194" s="264"/>
      <c r="K194" s="246"/>
      <c r="L194" s="67">
        <f t="shared" si="71"/>
        <v>187043.30000000075</v>
      </c>
    </row>
    <row r="195" spans="1:12" x14ac:dyDescent="0.3">
      <c r="A195" s="32"/>
      <c r="B195" s="232"/>
      <c r="C195" s="239"/>
      <c r="D195" s="236"/>
      <c r="E195" s="231"/>
      <c r="F195" s="54">
        <f t="shared" ref="F195" si="72">+F194+C195+D195-E195</f>
        <v>1340</v>
      </c>
      <c r="G195" s="240"/>
      <c r="H195" s="226"/>
      <c r="I195" s="62">
        <f t="shared" ref="I195" si="73">I194++G195-H195</f>
        <v>0</v>
      </c>
      <c r="J195" s="248"/>
      <c r="K195" s="246"/>
      <c r="L195" s="67">
        <f t="shared" ref="L195" si="74">L194++J195-K195</f>
        <v>187043.30000000075</v>
      </c>
    </row>
    <row r="196" spans="1:12" x14ac:dyDescent="0.3">
      <c r="A196" s="32">
        <v>46134</v>
      </c>
      <c r="B196" s="234" t="s">
        <v>538</v>
      </c>
      <c r="C196" s="244"/>
      <c r="D196" s="236">
        <v>4000</v>
      </c>
      <c r="E196" s="231"/>
      <c r="F196" s="54">
        <f>+F195+C196+D196-E196</f>
        <v>5340</v>
      </c>
      <c r="G196" s="240"/>
      <c r="H196" s="226">
        <v>0</v>
      </c>
      <c r="I196" s="62">
        <f t="shared" ref="I196:I229" si="75">+I195+G196-H196</f>
        <v>0</v>
      </c>
      <c r="J196" s="247"/>
      <c r="K196" s="246"/>
      <c r="L196" s="67">
        <f>+L195+J196-K196</f>
        <v>187043.30000000075</v>
      </c>
    </row>
    <row r="197" spans="1:12" x14ac:dyDescent="0.3">
      <c r="A197" s="32">
        <v>46134</v>
      </c>
      <c r="B197" s="230" t="s">
        <v>234</v>
      </c>
      <c r="C197" s="244"/>
      <c r="D197" s="236"/>
      <c r="E197" s="231">
        <v>50</v>
      </c>
      <c r="F197" s="54">
        <f t="shared" ref="F197:F222" si="76">+F196+C197+D197-E197</f>
        <v>5290</v>
      </c>
      <c r="G197" s="241"/>
      <c r="H197" s="226"/>
      <c r="I197" s="62">
        <f t="shared" si="75"/>
        <v>0</v>
      </c>
      <c r="J197" s="247"/>
      <c r="K197" s="246"/>
      <c r="L197" s="67">
        <f t="shared" ref="L197:L222" si="77">+L196+J197-K197</f>
        <v>187043.30000000075</v>
      </c>
    </row>
    <row r="198" spans="1:12" x14ac:dyDescent="0.3">
      <c r="A198" s="32">
        <v>46134</v>
      </c>
      <c r="B198" s="230" t="s">
        <v>36</v>
      </c>
      <c r="C198" s="244"/>
      <c r="D198" s="237"/>
      <c r="E198" s="231">
        <v>50</v>
      </c>
      <c r="F198" s="54">
        <f t="shared" si="76"/>
        <v>5240</v>
      </c>
      <c r="G198" s="241"/>
      <c r="H198" s="226"/>
      <c r="I198" s="62">
        <f t="shared" si="75"/>
        <v>0</v>
      </c>
      <c r="J198" s="248"/>
      <c r="K198" s="246"/>
      <c r="L198" s="67">
        <f t="shared" si="77"/>
        <v>187043.30000000075</v>
      </c>
    </row>
    <row r="199" spans="1:12" x14ac:dyDescent="0.3">
      <c r="A199" s="32">
        <v>46134</v>
      </c>
      <c r="B199" s="230" t="s">
        <v>65</v>
      </c>
      <c r="C199" s="244"/>
      <c r="D199" s="237"/>
      <c r="E199" s="231"/>
      <c r="F199" s="54">
        <f t="shared" si="76"/>
        <v>5240</v>
      </c>
      <c r="G199" s="241"/>
      <c r="H199" s="280"/>
      <c r="I199" s="62">
        <f t="shared" si="75"/>
        <v>0</v>
      </c>
      <c r="J199" s="37"/>
      <c r="K199" s="246">
        <v>14000</v>
      </c>
      <c r="L199" s="67">
        <f t="shared" si="77"/>
        <v>173043.30000000075</v>
      </c>
    </row>
    <row r="200" spans="1:12" x14ac:dyDescent="0.3">
      <c r="A200" s="32">
        <v>46134</v>
      </c>
      <c r="B200" s="230" t="s">
        <v>678</v>
      </c>
      <c r="C200" s="244"/>
      <c r="D200" s="237"/>
      <c r="E200" s="231"/>
      <c r="F200" s="54">
        <f t="shared" si="76"/>
        <v>5240</v>
      </c>
      <c r="G200" s="240"/>
      <c r="H200" s="226"/>
      <c r="I200" s="62">
        <f t="shared" si="75"/>
        <v>0</v>
      </c>
      <c r="J200" s="229"/>
      <c r="K200" s="246">
        <v>5000</v>
      </c>
      <c r="L200" s="67">
        <f t="shared" si="77"/>
        <v>168043.30000000075</v>
      </c>
    </row>
    <row r="201" spans="1:12" x14ac:dyDescent="0.3">
      <c r="A201" s="32">
        <v>46134</v>
      </c>
      <c r="B201" s="230" t="s">
        <v>679</v>
      </c>
      <c r="C201" s="244"/>
      <c r="D201" s="236"/>
      <c r="E201" s="231">
        <v>200</v>
      </c>
      <c r="F201" s="54">
        <f t="shared" si="76"/>
        <v>5040</v>
      </c>
      <c r="G201" s="240"/>
      <c r="H201" s="226"/>
      <c r="I201" s="62">
        <f t="shared" si="75"/>
        <v>0</v>
      </c>
      <c r="J201" s="271"/>
      <c r="K201" s="246"/>
      <c r="L201" s="67">
        <f t="shared" si="77"/>
        <v>168043.30000000075</v>
      </c>
    </row>
    <row r="202" spans="1:12" x14ac:dyDescent="0.3">
      <c r="A202" s="32">
        <v>46134</v>
      </c>
      <c r="B202" s="230" t="s">
        <v>680</v>
      </c>
      <c r="C202" s="244"/>
      <c r="D202" s="236"/>
      <c r="E202" s="231"/>
      <c r="F202" s="54">
        <f t="shared" si="76"/>
        <v>5040</v>
      </c>
      <c r="G202" s="240"/>
      <c r="H202" s="228"/>
      <c r="I202" s="62">
        <f t="shared" si="75"/>
        <v>0</v>
      </c>
      <c r="J202" s="266"/>
      <c r="K202" s="246">
        <v>70000</v>
      </c>
      <c r="L202" s="67">
        <f t="shared" si="77"/>
        <v>98043.300000000745</v>
      </c>
    </row>
    <row r="203" spans="1:12" x14ac:dyDescent="0.3">
      <c r="A203" s="32">
        <v>46134</v>
      </c>
      <c r="B203" s="230" t="s">
        <v>681</v>
      </c>
      <c r="C203" s="245"/>
      <c r="D203" s="236"/>
      <c r="E203" s="231">
        <v>150</v>
      </c>
      <c r="F203" s="54">
        <f t="shared" si="76"/>
        <v>4890</v>
      </c>
      <c r="G203" s="241"/>
      <c r="H203" s="226"/>
      <c r="I203" s="62">
        <f t="shared" si="75"/>
        <v>0</v>
      </c>
      <c r="J203" s="130"/>
      <c r="K203" s="246"/>
      <c r="L203" s="67">
        <f t="shared" si="77"/>
        <v>98043.300000000745</v>
      </c>
    </row>
    <row r="204" spans="1:12" x14ac:dyDescent="0.3">
      <c r="A204" s="32">
        <v>46134</v>
      </c>
      <c r="B204" s="230" t="s">
        <v>682</v>
      </c>
      <c r="C204" s="244"/>
      <c r="D204" s="236"/>
      <c r="E204" s="231">
        <v>1638</v>
      </c>
      <c r="F204" s="54">
        <f t="shared" si="76"/>
        <v>3252</v>
      </c>
      <c r="G204" s="240"/>
      <c r="H204" s="226"/>
      <c r="I204" s="62">
        <f t="shared" si="75"/>
        <v>0</v>
      </c>
      <c r="J204" s="264"/>
      <c r="K204" s="246"/>
      <c r="L204" s="67">
        <f t="shared" si="77"/>
        <v>98043.300000000745</v>
      </c>
    </row>
    <row r="205" spans="1:12" x14ac:dyDescent="0.3">
      <c r="A205" s="32">
        <v>46134</v>
      </c>
      <c r="B205" s="230" t="s">
        <v>683</v>
      </c>
      <c r="C205" s="244"/>
      <c r="D205" s="236"/>
      <c r="E205" s="231">
        <v>1680</v>
      </c>
      <c r="F205" s="54">
        <f t="shared" si="76"/>
        <v>1572</v>
      </c>
      <c r="G205" s="240"/>
      <c r="H205" s="226"/>
      <c r="I205" s="62">
        <f t="shared" si="75"/>
        <v>0</v>
      </c>
      <c r="J205" s="264"/>
      <c r="K205" s="246"/>
      <c r="L205" s="67">
        <f t="shared" si="77"/>
        <v>98043.300000000745</v>
      </c>
    </row>
    <row r="206" spans="1:12" x14ac:dyDescent="0.3">
      <c r="A206" s="32">
        <v>46134</v>
      </c>
      <c r="B206" s="232" t="s">
        <v>684</v>
      </c>
      <c r="C206" s="244">
        <v>245</v>
      </c>
      <c r="D206" s="236"/>
      <c r="E206" s="231"/>
      <c r="F206" s="54">
        <f t="shared" si="76"/>
        <v>1817</v>
      </c>
      <c r="G206" s="240"/>
      <c r="H206" s="226"/>
      <c r="I206" s="62">
        <f t="shared" si="75"/>
        <v>0</v>
      </c>
      <c r="J206" s="248"/>
      <c r="K206" s="246"/>
      <c r="L206" s="67">
        <f t="shared" si="77"/>
        <v>98043.300000000745</v>
      </c>
    </row>
    <row r="207" spans="1:12" x14ac:dyDescent="0.3">
      <c r="A207" s="32">
        <v>46134</v>
      </c>
      <c r="B207" s="232" t="s">
        <v>685</v>
      </c>
      <c r="C207" s="244">
        <v>525</v>
      </c>
      <c r="D207" s="237"/>
      <c r="E207" s="231"/>
      <c r="F207" s="54">
        <f t="shared" si="76"/>
        <v>2342</v>
      </c>
      <c r="G207" s="240"/>
      <c r="H207" s="226"/>
      <c r="I207" s="62">
        <f t="shared" si="75"/>
        <v>0</v>
      </c>
      <c r="J207" s="130"/>
      <c r="K207" s="246"/>
      <c r="L207" s="67">
        <f t="shared" si="77"/>
        <v>98043.300000000745</v>
      </c>
    </row>
    <row r="208" spans="1:12" x14ac:dyDescent="0.3">
      <c r="A208" s="32">
        <v>46134</v>
      </c>
      <c r="B208" s="230" t="s">
        <v>686</v>
      </c>
      <c r="C208" s="244"/>
      <c r="D208" s="236"/>
      <c r="E208" s="231">
        <v>1550</v>
      </c>
      <c r="F208" s="54">
        <f t="shared" si="76"/>
        <v>792</v>
      </c>
      <c r="G208" s="241"/>
      <c r="H208" s="226"/>
      <c r="I208" s="62">
        <f t="shared" si="75"/>
        <v>0</v>
      </c>
      <c r="J208" s="271"/>
      <c r="K208" s="246"/>
      <c r="L208" s="67">
        <f t="shared" si="77"/>
        <v>98043.300000000745</v>
      </c>
    </row>
    <row r="209" spans="1:12" x14ac:dyDescent="0.3">
      <c r="A209" s="32">
        <v>46134</v>
      </c>
      <c r="B209" s="230" t="s">
        <v>687</v>
      </c>
      <c r="C209" s="244"/>
      <c r="D209" s="237"/>
      <c r="E209" s="231">
        <v>6</v>
      </c>
      <c r="F209" s="54">
        <f t="shared" si="76"/>
        <v>786</v>
      </c>
      <c r="G209" s="241"/>
      <c r="H209" s="226"/>
      <c r="I209" s="62">
        <f t="shared" si="75"/>
        <v>0</v>
      </c>
      <c r="J209" s="248"/>
      <c r="K209" s="246"/>
      <c r="L209" s="67">
        <f t="shared" si="77"/>
        <v>98043.300000000745</v>
      </c>
    </row>
    <row r="210" spans="1:12" x14ac:dyDescent="0.3">
      <c r="A210" s="32">
        <v>46134</v>
      </c>
      <c r="B210" s="222" t="s">
        <v>23</v>
      </c>
      <c r="C210" s="244"/>
      <c r="D210" s="236"/>
      <c r="E210" s="231">
        <v>200</v>
      </c>
      <c r="F210" s="54">
        <f t="shared" si="76"/>
        <v>586</v>
      </c>
      <c r="G210" s="242"/>
      <c r="H210" s="227"/>
      <c r="I210" s="62">
        <f t="shared" si="75"/>
        <v>0</v>
      </c>
      <c r="J210" s="271">
        <v>550000</v>
      </c>
      <c r="K210" s="246"/>
      <c r="L210" s="67">
        <f t="shared" si="77"/>
        <v>648043.30000000075</v>
      </c>
    </row>
    <row r="211" spans="1:12" x14ac:dyDescent="0.3">
      <c r="A211" s="32">
        <v>46134</v>
      </c>
      <c r="B211" s="230" t="s">
        <v>688</v>
      </c>
      <c r="C211" s="244"/>
      <c r="D211" s="237"/>
      <c r="E211" s="231"/>
      <c r="F211" s="54">
        <f t="shared" si="76"/>
        <v>586</v>
      </c>
      <c r="G211" s="243"/>
      <c r="H211" s="227"/>
      <c r="I211" s="62">
        <f t="shared" si="75"/>
        <v>0</v>
      </c>
      <c r="J211" s="248"/>
      <c r="K211" s="246">
        <v>102000</v>
      </c>
      <c r="L211" s="67">
        <f t="shared" si="77"/>
        <v>546043.30000000075</v>
      </c>
    </row>
    <row r="212" spans="1:12" x14ac:dyDescent="0.3">
      <c r="A212" s="32">
        <v>46134</v>
      </c>
      <c r="B212" s="230" t="s">
        <v>689</v>
      </c>
      <c r="C212" s="239"/>
      <c r="D212" s="237"/>
      <c r="E212" s="231"/>
      <c r="F212" s="54">
        <f t="shared" si="76"/>
        <v>586</v>
      </c>
      <c r="G212" s="223"/>
      <c r="H212" s="221"/>
      <c r="I212" s="62">
        <f t="shared" si="75"/>
        <v>0</v>
      </c>
      <c r="J212" s="37"/>
      <c r="K212" s="246">
        <v>27000</v>
      </c>
      <c r="L212" s="67">
        <f t="shared" si="77"/>
        <v>519043.30000000075</v>
      </c>
    </row>
    <row r="213" spans="1:12" x14ac:dyDescent="0.3">
      <c r="A213" s="32">
        <v>46134</v>
      </c>
      <c r="B213" s="230" t="s">
        <v>690</v>
      </c>
      <c r="C213" s="244"/>
      <c r="D213" s="236"/>
      <c r="E213" s="231"/>
      <c r="F213" s="54">
        <f t="shared" si="76"/>
        <v>586</v>
      </c>
      <c r="G213" s="223"/>
      <c r="H213" s="227"/>
      <c r="I213" s="62">
        <f t="shared" si="75"/>
        <v>0</v>
      </c>
      <c r="J213" s="264"/>
      <c r="K213" s="246">
        <v>20196</v>
      </c>
      <c r="L213" s="67">
        <f t="shared" si="77"/>
        <v>498847.30000000075</v>
      </c>
    </row>
    <row r="214" spans="1:12" x14ac:dyDescent="0.3">
      <c r="A214" s="32">
        <v>46134</v>
      </c>
      <c r="B214" s="230" t="s">
        <v>691</v>
      </c>
      <c r="C214" s="244"/>
      <c r="D214" s="236"/>
      <c r="E214" s="231"/>
      <c r="F214" s="54">
        <f t="shared" si="76"/>
        <v>586</v>
      </c>
      <c r="G214" s="223"/>
      <c r="H214" s="227"/>
      <c r="I214" s="62">
        <f t="shared" si="75"/>
        <v>0</v>
      </c>
      <c r="J214" s="264"/>
      <c r="K214" s="246">
        <v>51408</v>
      </c>
      <c r="L214" s="67">
        <f t="shared" si="77"/>
        <v>447439.30000000075</v>
      </c>
    </row>
    <row r="215" spans="1:12" x14ac:dyDescent="0.3">
      <c r="A215" s="32">
        <v>46134</v>
      </c>
      <c r="B215" s="230" t="s">
        <v>692</v>
      </c>
      <c r="C215" s="244"/>
      <c r="D215" s="236"/>
      <c r="E215" s="231"/>
      <c r="F215" s="54">
        <f t="shared" si="76"/>
        <v>586</v>
      </c>
      <c r="G215" s="223"/>
      <c r="H215" s="227"/>
      <c r="I215" s="62">
        <f t="shared" si="75"/>
        <v>0</v>
      </c>
      <c r="J215" s="271"/>
      <c r="K215" s="246">
        <v>63424</v>
      </c>
      <c r="L215" s="67">
        <f t="shared" si="77"/>
        <v>384015.30000000075</v>
      </c>
    </row>
    <row r="216" spans="1:12" x14ac:dyDescent="0.3">
      <c r="A216" s="32">
        <v>46134</v>
      </c>
      <c r="B216" s="230" t="s">
        <v>693</v>
      </c>
      <c r="C216" s="239"/>
      <c r="D216" s="236"/>
      <c r="E216" s="231"/>
      <c r="F216" s="54">
        <f t="shared" si="76"/>
        <v>586</v>
      </c>
      <c r="G216" s="223"/>
      <c r="H216" s="227"/>
      <c r="I216" s="62">
        <f t="shared" si="75"/>
        <v>0</v>
      </c>
      <c r="J216" s="229"/>
      <c r="K216" s="246">
        <v>33000</v>
      </c>
      <c r="L216" s="67">
        <f t="shared" si="77"/>
        <v>351015.30000000075</v>
      </c>
    </row>
    <row r="217" spans="1:12" x14ac:dyDescent="0.3">
      <c r="A217" s="32">
        <v>46134</v>
      </c>
      <c r="B217" s="230" t="s">
        <v>694</v>
      </c>
      <c r="C217" s="244"/>
      <c r="D217" s="236"/>
      <c r="E217" s="231"/>
      <c r="F217" s="54">
        <f t="shared" si="76"/>
        <v>586</v>
      </c>
      <c r="G217" s="223"/>
      <c r="H217" s="227"/>
      <c r="I217" s="62">
        <f t="shared" si="75"/>
        <v>0</v>
      </c>
      <c r="J217" s="65"/>
      <c r="K217" s="246">
        <v>36000</v>
      </c>
      <c r="L217" s="67">
        <f t="shared" si="77"/>
        <v>315015.30000000075</v>
      </c>
    </row>
    <row r="218" spans="1:12" x14ac:dyDescent="0.3">
      <c r="A218" s="32">
        <v>46134</v>
      </c>
      <c r="B218" s="230" t="s">
        <v>695</v>
      </c>
      <c r="C218" s="244"/>
      <c r="D218" s="236"/>
      <c r="E218" s="231"/>
      <c r="F218" s="54">
        <f t="shared" si="76"/>
        <v>586</v>
      </c>
      <c r="G218" s="223"/>
      <c r="H218" s="227"/>
      <c r="I218" s="62">
        <f t="shared" si="75"/>
        <v>0</v>
      </c>
      <c r="J218" s="65"/>
      <c r="K218" s="246">
        <v>40000</v>
      </c>
      <c r="L218" s="67">
        <f t="shared" si="77"/>
        <v>275015.30000000075</v>
      </c>
    </row>
    <row r="219" spans="1:12" x14ac:dyDescent="0.3">
      <c r="A219" s="32">
        <v>46134</v>
      </c>
      <c r="B219" s="230" t="s">
        <v>94</v>
      </c>
      <c r="C219" s="267"/>
      <c r="D219" s="235"/>
      <c r="E219" s="231"/>
      <c r="F219" s="54">
        <f t="shared" si="76"/>
        <v>586</v>
      </c>
      <c r="G219" s="223"/>
      <c r="H219" s="227"/>
      <c r="I219" s="62">
        <f t="shared" si="75"/>
        <v>0</v>
      </c>
      <c r="J219" s="248"/>
      <c r="K219" s="246">
        <v>80000</v>
      </c>
      <c r="L219" s="67">
        <f t="shared" si="77"/>
        <v>195015.30000000075</v>
      </c>
    </row>
    <row r="220" spans="1:12" x14ac:dyDescent="0.3">
      <c r="A220" s="32">
        <v>46134</v>
      </c>
      <c r="B220" s="230" t="s">
        <v>696</v>
      </c>
      <c r="C220" s="244"/>
      <c r="D220" s="235"/>
      <c r="E220" s="231"/>
      <c r="F220" s="54">
        <f t="shared" si="76"/>
        <v>586</v>
      </c>
      <c r="G220" s="223"/>
      <c r="H220" s="227"/>
      <c r="I220" s="62">
        <f t="shared" si="75"/>
        <v>0</v>
      </c>
      <c r="J220" s="248"/>
      <c r="K220" s="246">
        <v>15000</v>
      </c>
      <c r="L220" s="67">
        <f t="shared" si="77"/>
        <v>180015.30000000075</v>
      </c>
    </row>
    <row r="221" spans="1:12" x14ac:dyDescent="0.3">
      <c r="A221" s="32">
        <v>46134</v>
      </c>
      <c r="B221" s="232" t="s">
        <v>697</v>
      </c>
      <c r="C221" s="244">
        <v>405</v>
      </c>
      <c r="D221" s="235"/>
      <c r="E221" s="231"/>
      <c r="F221" s="54">
        <f t="shared" si="76"/>
        <v>991</v>
      </c>
      <c r="G221" s="223"/>
      <c r="H221" s="227"/>
      <c r="I221" s="62">
        <f t="shared" si="75"/>
        <v>0</v>
      </c>
      <c r="J221" s="248"/>
      <c r="K221" s="246"/>
      <c r="L221" s="67">
        <f t="shared" si="77"/>
        <v>180015.30000000075</v>
      </c>
    </row>
    <row r="222" spans="1:12" x14ac:dyDescent="0.3">
      <c r="A222" s="32">
        <v>46134</v>
      </c>
      <c r="B222" s="230" t="s">
        <v>698</v>
      </c>
      <c r="C222" s="74"/>
      <c r="D222" s="118"/>
      <c r="E222" s="231">
        <v>840</v>
      </c>
      <c r="F222" s="107">
        <f t="shared" si="76"/>
        <v>151</v>
      </c>
      <c r="G222" s="223"/>
      <c r="H222" s="227"/>
      <c r="I222" s="62">
        <f t="shared" si="75"/>
        <v>0</v>
      </c>
      <c r="J222" s="229"/>
      <c r="K222" s="246"/>
      <c r="L222" s="67">
        <f t="shared" si="77"/>
        <v>180015.30000000075</v>
      </c>
    </row>
    <row r="223" spans="1:12" x14ac:dyDescent="0.3">
      <c r="A223" s="32">
        <v>46135</v>
      </c>
      <c r="B223" s="234" t="s">
        <v>538</v>
      </c>
      <c r="C223" s="244"/>
      <c r="D223" s="236">
        <v>5000</v>
      </c>
      <c r="E223" s="231"/>
      <c r="F223" s="54">
        <f>+F222+C223+D223-E223</f>
        <v>5151</v>
      </c>
      <c r="G223" s="240"/>
      <c r="H223" s="226">
        <v>0</v>
      </c>
      <c r="I223" s="62">
        <f t="shared" si="75"/>
        <v>0</v>
      </c>
      <c r="J223" s="247"/>
      <c r="K223" s="246"/>
      <c r="L223" s="67">
        <f>+L222+J223-K223</f>
        <v>180015.30000000075</v>
      </c>
    </row>
    <row r="224" spans="1:12" x14ac:dyDescent="0.3">
      <c r="A224" s="32">
        <v>46135</v>
      </c>
      <c r="B224" s="232" t="s">
        <v>699</v>
      </c>
      <c r="C224" s="244"/>
      <c r="D224" s="236"/>
      <c r="E224" s="83">
        <v>5000</v>
      </c>
      <c r="F224" s="54">
        <f t="shared" ref="F224:F229" si="78">+F223+C224+D224-E224</f>
        <v>151</v>
      </c>
      <c r="G224" s="241"/>
      <c r="H224" s="226"/>
      <c r="I224" s="62">
        <f t="shared" si="75"/>
        <v>0</v>
      </c>
      <c r="J224" s="247"/>
      <c r="K224" s="246"/>
      <c r="L224" s="67">
        <f t="shared" ref="L224:L229" si="79">+L223+J224-K224</f>
        <v>180015.30000000075</v>
      </c>
    </row>
    <row r="225" spans="1:12" x14ac:dyDescent="0.3">
      <c r="A225" s="32">
        <v>46135</v>
      </c>
      <c r="B225" s="230" t="s">
        <v>48</v>
      </c>
      <c r="C225" s="244"/>
      <c r="D225" s="237"/>
      <c r="E225" s="231">
        <v>70</v>
      </c>
      <c r="F225" s="54">
        <f t="shared" si="78"/>
        <v>81</v>
      </c>
      <c r="G225" s="241"/>
      <c r="H225" s="226"/>
      <c r="I225" s="62">
        <f t="shared" si="75"/>
        <v>0</v>
      </c>
      <c r="J225" s="248"/>
      <c r="K225" s="246"/>
      <c r="L225" s="67">
        <f t="shared" si="79"/>
        <v>180015.30000000075</v>
      </c>
    </row>
    <row r="226" spans="1:12" x14ac:dyDescent="0.3">
      <c r="A226" s="32">
        <v>46135</v>
      </c>
      <c r="B226" s="230" t="s">
        <v>27</v>
      </c>
      <c r="C226" s="244"/>
      <c r="D226" s="237"/>
      <c r="E226" s="231">
        <v>40</v>
      </c>
      <c r="F226" s="54">
        <f t="shared" si="78"/>
        <v>41</v>
      </c>
      <c r="G226" s="241"/>
      <c r="H226" s="280"/>
      <c r="I226" s="62">
        <f t="shared" si="75"/>
        <v>0</v>
      </c>
      <c r="J226" s="37"/>
      <c r="K226" s="246"/>
      <c r="L226" s="67">
        <f t="shared" si="79"/>
        <v>180015.30000000075</v>
      </c>
    </row>
    <row r="227" spans="1:12" x14ac:dyDescent="0.3">
      <c r="A227" s="32">
        <v>46135</v>
      </c>
      <c r="B227" s="230" t="s">
        <v>700</v>
      </c>
      <c r="C227" s="244"/>
      <c r="D227" s="237"/>
      <c r="E227" s="231"/>
      <c r="F227" s="54">
        <f t="shared" si="78"/>
        <v>41</v>
      </c>
      <c r="G227" s="240"/>
      <c r="H227" s="226"/>
      <c r="I227" s="62">
        <f t="shared" si="75"/>
        <v>0</v>
      </c>
      <c r="J227" s="229"/>
      <c r="K227" s="246">
        <v>45000</v>
      </c>
      <c r="L227" s="67">
        <f t="shared" si="79"/>
        <v>135015.30000000075</v>
      </c>
    </row>
    <row r="228" spans="1:12" x14ac:dyDescent="0.3">
      <c r="A228" s="32">
        <v>46135</v>
      </c>
      <c r="B228" s="230" t="s">
        <v>701</v>
      </c>
      <c r="C228" s="244"/>
      <c r="D228" s="236"/>
      <c r="E228" s="231"/>
      <c r="F228" s="54">
        <f t="shared" si="78"/>
        <v>41</v>
      </c>
      <c r="G228" s="240"/>
      <c r="H228" s="226"/>
      <c r="I228" s="62">
        <f t="shared" si="75"/>
        <v>0</v>
      </c>
      <c r="J228" s="271"/>
      <c r="K228" s="246">
        <v>22500</v>
      </c>
      <c r="L228" s="67">
        <f t="shared" si="79"/>
        <v>112515.30000000075</v>
      </c>
    </row>
    <row r="229" spans="1:12" x14ac:dyDescent="0.3">
      <c r="A229" s="32">
        <v>46135</v>
      </c>
      <c r="B229" s="230" t="s">
        <v>702</v>
      </c>
      <c r="C229" s="244"/>
      <c r="D229" s="236"/>
      <c r="E229" s="231"/>
      <c r="F229" s="107">
        <f t="shared" si="78"/>
        <v>41</v>
      </c>
      <c r="G229" s="240"/>
      <c r="H229" s="228"/>
      <c r="I229" s="62">
        <f t="shared" si="75"/>
        <v>0</v>
      </c>
      <c r="J229" s="266"/>
      <c r="K229" s="246">
        <v>55080</v>
      </c>
      <c r="L229" s="67">
        <f t="shared" si="79"/>
        <v>57435.300000000745</v>
      </c>
    </row>
    <row r="230" spans="1:12" x14ac:dyDescent="0.3">
      <c r="A230" s="32">
        <v>46135</v>
      </c>
      <c r="B230" s="230" t="s">
        <v>46</v>
      </c>
      <c r="C230" s="244"/>
      <c r="D230" s="235"/>
      <c r="E230" s="231">
        <v>41</v>
      </c>
      <c r="F230" s="54">
        <f t="shared" ref="F230" si="80">+F229+C230+D230-E230</f>
        <v>0</v>
      </c>
      <c r="G230" s="223"/>
      <c r="H230" s="227"/>
      <c r="I230" s="62">
        <f t="shared" ref="I230" si="81">I229++G230-H230</f>
        <v>0</v>
      </c>
      <c r="J230" s="248"/>
      <c r="K230" s="246"/>
      <c r="L230" s="67">
        <f t="shared" ref="L230" si="82">L229++J230-K230</f>
        <v>57435.300000000745</v>
      </c>
    </row>
    <row r="231" spans="1:12" x14ac:dyDescent="0.3">
      <c r="A231" s="32">
        <v>46136</v>
      </c>
      <c r="B231" s="234" t="s">
        <v>16</v>
      </c>
      <c r="C231" s="244"/>
      <c r="D231" s="236">
        <v>9900</v>
      </c>
      <c r="E231" s="231"/>
      <c r="F231" s="54">
        <f>+F230+C231+D231-E231</f>
        <v>9900</v>
      </c>
      <c r="G231" s="240"/>
      <c r="H231" s="226">
        <v>0</v>
      </c>
      <c r="I231" s="62">
        <f t="shared" ref="I231:I246" si="83">+I230+G231-H231</f>
        <v>0</v>
      </c>
      <c r="J231" s="247"/>
      <c r="K231" s="246"/>
      <c r="L231" s="67">
        <f>+L230+J231-K231</f>
        <v>57435.300000000745</v>
      </c>
    </row>
    <row r="232" spans="1:12" x14ac:dyDescent="0.3">
      <c r="A232" s="32">
        <v>46136</v>
      </c>
      <c r="B232" s="234" t="s">
        <v>54</v>
      </c>
      <c r="C232" s="244"/>
      <c r="D232" s="236">
        <v>9900</v>
      </c>
      <c r="E232" s="83"/>
      <c r="F232" s="54">
        <f t="shared" ref="F232:F246" si="84">+F231+C232+D232-E232</f>
        <v>19800</v>
      </c>
      <c r="G232" s="241"/>
      <c r="H232" s="226"/>
      <c r="I232" s="62">
        <f t="shared" si="83"/>
        <v>0</v>
      </c>
      <c r="J232" s="247"/>
      <c r="K232" s="246"/>
      <c r="L232" s="67">
        <f t="shared" ref="L232:L246" si="85">+L231+J232-K232</f>
        <v>57435.300000000745</v>
      </c>
    </row>
    <row r="233" spans="1:12" x14ac:dyDescent="0.3">
      <c r="A233" s="32">
        <v>46136</v>
      </c>
      <c r="B233" s="230" t="s">
        <v>703</v>
      </c>
      <c r="C233" s="244"/>
      <c r="D233" s="237"/>
      <c r="E233" s="231"/>
      <c r="F233" s="54">
        <f t="shared" si="84"/>
        <v>19800</v>
      </c>
      <c r="G233" s="241"/>
      <c r="H233" s="226"/>
      <c r="I233" s="62">
        <f t="shared" si="83"/>
        <v>0</v>
      </c>
      <c r="J233" s="248"/>
      <c r="K233" s="246">
        <v>10000</v>
      </c>
      <c r="L233" s="67">
        <f t="shared" si="85"/>
        <v>47435.300000000745</v>
      </c>
    </row>
    <row r="234" spans="1:12" x14ac:dyDescent="0.3">
      <c r="A234" s="32">
        <v>46136</v>
      </c>
      <c r="B234" s="230" t="s">
        <v>704</v>
      </c>
      <c r="C234" s="244"/>
      <c r="D234" s="237"/>
      <c r="E234" s="231">
        <v>85</v>
      </c>
      <c r="F234" s="54">
        <f t="shared" si="84"/>
        <v>19715</v>
      </c>
      <c r="G234" s="241"/>
      <c r="H234" s="280"/>
      <c r="I234" s="62">
        <f t="shared" si="83"/>
        <v>0</v>
      </c>
      <c r="J234" s="37"/>
      <c r="K234" s="246"/>
      <c r="L234" s="67">
        <f t="shared" si="85"/>
        <v>47435.300000000745</v>
      </c>
    </row>
    <row r="235" spans="1:12" x14ac:dyDescent="0.3">
      <c r="A235" s="32">
        <v>46136</v>
      </c>
      <c r="B235" s="230" t="s">
        <v>705</v>
      </c>
      <c r="C235" s="244"/>
      <c r="D235" s="237"/>
      <c r="E235" s="231">
        <v>30</v>
      </c>
      <c r="F235" s="54">
        <f t="shared" si="84"/>
        <v>19685</v>
      </c>
      <c r="G235" s="240"/>
      <c r="H235" s="226"/>
      <c r="I235" s="62">
        <f t="shared" si="83"/>
        <v>0</v>
      </c>
      <c r="J235" s="229"/>
      <c r="K235" s="246"/>
      <c r="L235" s="67">
        <f t="shared" si="85"/>
        <v>47435.300000000745</v>
      </c>
    </row>
    <row r="236" spans="1:12" x14ac:dyDescent="0.3">
      <c r="A236" s="32">
        <v>46136</v>
      </c>
      <c r="B236" s="230" t="s">
        <v>706</v>
      </c>
      <c r="C236" s="244"/>
      <c r="D236" s="236"/>
      <c r="E236" s="231">
        <v>100</v>
      </c>
      <c r="F236" s="54">
        <f t="shared" si="84"/>
        <v>19585</v>
      </c>
      <c r="G236" s="240"/>
      <c r="H236" s="226"/>
      <c r="I236" s="62">
        <f t="shared" si="83"/>
        <v>0</v>
      </c>
      <c r="J236" s="271"/>
      <c r="K236" s="246"/>
      <c r="L236" s="67">
        <f t="shared" si="85"/>
        <v>47435.300000000745</v>
      </c>
    </row>
    <row r="237" spans="1:12" x14ac:dyDescent="0.3">
      <c r="A237" s="32">
        <v>46136</v>
      </c>
      <c r="B237" s="230" t="s">
        <v>707</v>
      </c>
      <c r="C237" s="244"/>
      <c r="D237" s="236"/>
      <c r="E237" s="231">
        <v>35</v>
      </c>
      <c r="F237" s="54">
        <f t="shared" si="84"/>
        <v>19550</v>
      </c>
      <c r="G237" s="240"/>
      <c r="H237" s="228"/>
      <c r="I237" s="62">
        <f t="shared" si="83"/>
        <v>0</v>
      </c>
      <c r="J237" s="266"/>
      <c r="K237" s="246"/>
      <c r="L237" s="67">
        <f t="shared" si="85"/>
        <v>47435.300000000745</v>
      </c>
    </row>
    <row r="238" spans="1:12" x14ac:dyDescent="0.3">
      <c r="A238" s="32">
        <v>46136</v>
      </c>
      <c r="B238" s="230" t="s">
        <v>708</v>
      </c>
      <c r="C238" s="245"/>
      <c r="D238" s="236"/>
      <c r="E238" s="231">
        <v>60</v>
      </c>
      <c r="F238" s="54">
        <f t="shared" si="84"/>
        <v>19490</v>
      </c>
      <c r="G238" s="241"/>
      <c r="H238" s="226"/>
      <c r="I238" s="62">
        <f t="shared" si="83"/>
        <v>0</v>
      </c>
      <c r="J238" s="130"/>
      <c r="K238" s="246"/>
      <c r="L238" s="67">
        <f t="shared" si="85"/>
        <v>47435.300000000745</v>
      </c>
    </row>
    <row r="239" spans="1:12" x14ac:dyDescent="0.3">
      <c r="A239" s="32">
        <v>46136</v>
      </c>
      <c r="B239" s="230" t="s">
        <v>709</v>
      </c>
      <c r="C239" s="244"/>
      <c r="D239" s="236"/>
      <c r="E239" s="231">
        <v>105</v>
      </c>
      <c r="F239" s="54">
        <f t="shared" si="84"/>
        <v>19385</v>
      </c>
      <c r="G239" s="240"/>
      <c r="H239" s="226"/>
      <c r="I239" s="62">
        <f t="shared" si="83"/>
        <v>0</v>
      </c>
      <c r="J239" s="264"/>
      <c r="K239" s="246"/>
      <c r="L239" s="67">
        <f t="shared" si="85"/>
        <v>47435.300000000745</v>
      </c>
    </row>
    <row r="240" spans="1:12" x14ac:dyDescent="0.3">
      <c r="A240" s="32">
        <v>46136</v>
      </c>
      <c r="B240" s="230" t="s">
        <v>710</v>
      </c>
      <c r="C240" s="244"/>
      <c r="D240" s="236"/>
      <c r="E240" s="231">
        <v>20</v>
      </c>
      <c r="F240" s="54">
        <f t="shared" si="84"/>
        <v>19365</v>
      </c>
      <c r="G240" s="240"/>
      <c r="H240" s="226"/>
      <c r="I240" s="62">
        <f t="shared" si="83"/>
        <v>0</v>
      </c>
      <c r="J240" s="264"/>
      <c r="K240" s="246"/>
      <c r="L240" s="67">
        <f t="shared" si="85"/>
        <v>47435.300000000745</v>
      </c>
    </row>
    <row r="241" spans="1:12" x14ac:dyDescent="0.3">
      <c r="A241" s="32">
        <v>46136</v>
      </c>
      <c r="B241" s="230" t="s">
        <v>711</v>
      </c>
      <c r="C241" s="244"/>
      <c r="D241" s="236"/>
      <c r="E241" s="231">
        <v>34</v>
      </c>
      <c r="F241" s="54">
        <f t="shared" si="84"/>
        <v>19331</v>
      </c>
      <c r="G241" s="240"/>
      <c r="H241" s="226"/>
      <c r="I241" s="62">
        <f t="shared" si="83"/>
        <v>0</v>
      </c>
      <c r="J241" s="248"/>
      <c r="K241" s="246"/>
      <c r="L241" s="67">
        <f t="shared" si="85"/>
        <v>47435.300000000745</v>
      </c>
    </row>
    <row r="242" spans="1:12" x14ac:dyDescent="0.3">
      <c r="A242" s="32">
        <v>46136</v>
      </c>
      <c r="B242" s="222" t="s">
        <v>23</v>
      </c>
      <c r="C242" s="244"/>
      <c r="D242" s="237"/>
      <c r="E242" s="231">
        <v>100</v>
      </c>
      <c r="F242" s="54">
        <f t="shared" si="84"/>
        <v>19231</v>
      </c>
      <c r="G242" s="240"/>
      <c r="H242" s="226"/>
      <c r="I242" s="62">
        <f t="shared" si="83"/>
        <v>0</v>
      </c>
      <c r="J242" s="130">
        <v>225000</v>
      </c>
      <c r="K242" s="246"/>
      <c r="L242" s="67">
        <f t="shared" si="85"/>
        <v>272435.30000000075</v>
      </c>
    </row>
    <row r="243" spans="1:12" x14ac:dyDescent="0.3">
      <c r="A243" s="32">
        <v>46136</v>
      </c>
      <c r="B243" s="230" t="s">
        <v>712</v>
      </c>
      <c r="C243" s="244"/>
      <c r="D243" s="236"/>
      <c r="E243" s="231"/>
      <c r="F243" s="54">
        <f t="shared" si="84"/>
        <v>19231</v>
      </c>
      <c r="G243" s="241"/>
      <c r="H243" s="226"/>
      <c r="I243" s="62">
        <f t="shared" si="83"/>
        <v>0</v>
      </c>
      <c r="J243" s="271"/>
      <c r="K243" s="246">
        <v>30000</v>
      </c>
      <c r="L243" s="67">
        <f t="shared" si="85"/>
        <v>242435.30000000075</v>
      </c>
    </row>
    <row r="244" spans="1:12" x14ac:dyDescent="0.3">
      <c r="A244" s="32">
        <v>46136</v>
      </c>
      <c r="B244" s="230" t="s">
        <v>713</v>
      </c>
      <c r="C244" s="244"/>
      <c r="D244" s="237"/>
      <c r="E244" s="231">
        <v>130</v>
      </c>
      <c r="F244" s="54">
        <f t="shared" si="84"/>
        <v>19101</v>
      </c>
      <c r="G244" s="241"/>
      <c r="H244" s="226"/>
      <c r="I244" s="62">
        <f t="shared" si="83"/>
        <v>0</v>
      </c>
      <c r="J244" s="248"/>
      <c r="K244" s="246"/>
      <c r="L244" s="67">
        <f t="shared" si="85"/>
        <v>242435.30000000075</v>
      </c>
    </row>
    <row r="245" spans="1:12" x14ac:dyDescent="0.3">
      <c r="A245" s="32">
        <v>46136</v>
      </c>
      <c r="B245" s="230" t="s">
        <v>714</v>
      </c>
      <c r="C245" s="244"/>
      <c r="D245" s="236"/>
      <c r="E245" s="231"/>
      <c r="F245" s="54">
        <f t="shared" si="84"/>
        <v>19101</v>
      </c>
      <c r="G245" s="242"/>
      <c r="H245" s="227"/>
      <c r="I245" s="62">
        <f t="shared" si="83"/>
        <v>0</v>
      </c>
      <c r="J245" s="271"/>
      <c r="K245" s="246">
        <v>100000</v>
      </c>
      <c r="L245" s="67">
        <f t="shared" si="85"/>
        <v>142435.30000000075</v>
      </c>
    </row>
    <row r="246" spans="1:12" x14ac:dyDescent="0.3">
      <c r="A246" s="32">
        <v>46136</v>
      </c>
      <c r="B246" s="230" t="s">
        <v>52</v>
      </c>
      <c r="C246" s="244"/>
      <c r="D246" s="237"/>
      <c r="E246" s="231"/>
      <c r="F246" s="107">
        <f t="shared" si="84"/>
        <v>19101</v>
      </c>
      <c r="G246" s="243"/>
      <c r="H246" s="227"/>
      <c r="I246" s="62">
        <f t="shared" si="83"/>
        <v>0</v>
      </c>
      <c r="J246" s="248"/>
      <c r="K246" s="246">
        <v>10000</v>
      </c>
      <c r="L246" s="67">
        <f t="shared" si="85"/>
        <v>132435.30000000075</v>
      </c>
    </row>
    <row r="247" spans="1:12" x14ac:dyDescent="0.3">
      <c r="A247" s="32"/>
      <c r="B247" s="234"/>
      <c r="C247" s="245"/>
      <c r="D247" s="236"/>
      <c r="E247" s="231"/>
      <c r="F247" s="54">
        <f t="shared" ref="F247" si="86">+F246+C247+D247-E247</f>
        <v>19101</v>
      </c>
      <c r="G247" s="243"/>
      <c r="H247" s="227"/>
      <c r="I247" s="62">
        <f t="shared" ref="I247" si="87">I246++G247-H247</f>
        <v>0</v>
      </c>
      <c r="J247" s="264"/>
      <c r="K247" s="246"/>
      <c r="L247" s="67">
        <f t="shared" ref="L247" si="88">L246++J247-K247</f>
        <v>132435.30000000075</v>
      </c>
    </row>
    <row r="248" spans="1:12" x14ac:dyDescent="0.3">
      <c r="A248" s="32">
        <v>46137</v>
      </c>
      <c r="B248" s="234" t="s">
        <v>16</v>
      </c>
      <c r="C248" s="244"/>
      <c r="D248" s="236">
        <v>9900</v>
      </c>
      <c r="E248" s="231"/>
      <c r="F248" s="54">
        <f>+F247+C248+D248-E248</f>
        <v>29001</v>
      </c>
      <c r="G248" s="240"/>
      <c r="H248" s="226">
        <v>0</v>
      </c>
      <c r="I248" s="62">
        <f t="shared" ref="I248:I257" si="89">+I247+G248-H248</f>
        <v>0</v>
      </c>
      <c r="J248" s="247"/>
      <c r="K248" s="246"/>
      <c r="L248" s="67">
        <f>+L247+J248-K248</f>
        <v>132435.30000000075</v>
      </c>
    </row>
    <row r="249" spans="1:12" x14ac:dyDescent="0.3">
      <c r="A249" s="32">
        <v>46137</v>
      </c>
      <c r="B249" s="234" t="s">
        <v>54</v>
      </c>
      <c r="C249" s="244"/>
      <c r="D249" s="236">
        <v>5000</v>
      </c>
      <c r="E249" s="83"/>
      <c r="F249" s="54">
        <f t="shared" ref="F249:F257" si="90">+F248+C249+D249-E249</f>
        <v>34001</v>
      </c>
      <c r="G249" s="241"/>
      <c r="H249" s="226"/>
      <c r="I249" s="62">
        <f t="shared" si="89"/>
        <v>0</v>
      </c>
      <c r="J249" s="247"/>
      <c r="K249" s="246"/>
      <c r="L249" s="67">
        <f t="shared" ref="L249:L257" si="91">+L248+J249-K249</f>
        <v>132435.30000000075</v>
      </c>
    </row>
    <row r="250" spans="1:12" x14ac:dyDescent="0.3">
      <c r="A250" s="32">
        <v>46137</v>
      </c>
      <c r="B250" s="222" t="s">
        <v>23</v>
      </c>
      <c r="C250" s="244"/>
      <c r="D250" s="237"/>
      <c r="E250" s="231">
        <v>32250</v>
      </c>
      <c r="F250" s="54">
        <f t="shared" si="90"/>
        <v>1751</v>
      </c>
      <c r="G250" s="241"/>
      <c r="H250" s="226"/>
      <c r="I250" s="62">
        <f t="shared" si="89"/>
        <v>0</v>
      </c>
      <c r="J250" s="130">
        <v>74981250</v>
      </c>
      <c r="K250" s="246"/>
      <c r="L250" s="67">
        <f t="shared" si="91"/>
        <v>75113685.299999997</v>
      </c>
    </row>
    <row r="251" spans="1:12" x14ac:dyDescent="0.3">
      <c r="A251" s="32">
        <v>46137</v>
      </c>
      <c r="B251" s="230" t="s">
        <v>715</v>
      </c>
      <c r="C251" s="244"/>
      <c r="D251" s="237"/>
      <c r="E251" s="231"/>
      <c r="F251" s="54">
        <f t="shared" si="90"/>
        <v>1751</v>
      </c>
      <c r="G251" s="241"/>
      <c r="H251" s="280"/>
      <c r="I251" s="62">
        <f t="shared" si="89"/>
        <v>0</v>
      </c>
      <c r="J251" s="37"/>
      <c r="K251" s="246">
        <v>27206950</v>
      </c>
      <c r="L251" s="67">
        <f t="shared" si="91"/>
        <v>47906735.299999997</v>
      </c>
    </row>
    <row r="252" spans="1:12" x14ac:dyDescent="0.3">
      <c r="A252" s="32">
        <v>46137</v>
      </c>
      <c r="B252" s="230" t="s">
        <v>716</v>
      </c>
      <c r="C252" s="244"/>
      <c r="D252" s="237"/>
      <c r="E252" s="231"/>
      <c r="F252" s="54">
        <f t="shared" si="90"/>
        <v>1751</v>
      </c>
      <c r="G252" s="240"/>
      <c r="H252" s="226"/>
      <c r="I252" s="62">
        <f t="shared" si="89"/>
        <v>0</v>
      </c>
      <c r="J252" s="229"/>
      <c r="K252" s="246">
        <v>25801128</v>
      </c>
      <c r="L252" s="67">
        <f t="shared" si="91"/>
        <v>22105607.299999997</v>
      </c>
    </row>
    <row r="253" spans="1:12" x14ac:dyDescent="0.3">
      <c r="A253" s="32">
        <v>46137</v>
      </c>
      <c r="B253" s="230" t="s">
        <v>717</v>
      </c>
      <c r="C253" s="244"/>
      <c r="D253" s="236"/>
      <c r="E253" s="231"/>
      <c r="F253" s="54">
        <f t="shared" si="90"/>
        <v>1751</v>
      </c>
      <c r="G253" s="240"/>
      <c r="H253" s="226"/>
      <c r="I253" s="62">
        <f t="shared" si="89"/>
        <v>0</v>
      </c>
      <c r="J253" s="271"/>
      <c r="K253" s="246">
        <v>21573549</v>
      </c>
      <c r="L253" s="67">
        <f t="shared" si="91"/>
        <v>532058.29999999702</v>
      </c>
    </row>
    <row r="254" spans="1:12" x14ac:dyDescent="0.3">
      <c r="A254" s="32">
        <v>46137</v>
      </c>
      <c r="B254" s="230" t="s">
        <v>718</v>
      </c>
      <c r="C254" s="244"/>
      <c r="D254" s="236"/>
      <c r="E254" s="231"/>
      <c r="F254" s="54">
        <f t="shared" si="90"/>
        <v>1751</v>
      </c>
      <c r="G254" s="240"/>
      <c r="H254" s="228"/>
      <c r="I254" s="62">
        <f t="shared" si="89"/>
        <v>0</v>
      </c>
      <c r="J254" s="266"/>
      <c r="K254" s="246">
        <v>421388</v>
      </c>
      <c r="L254" s="67">
        <f t="shared" si="91"/>
        <v>110670.29999999702</v>
      </c>
    </row>
    <row r="255" spans="1:12" x14ac:dyDescent="0.3">
      <c r="A255" s="32">
        <v>46137</v>
      </c>
      <c r="B255" s="230" t="s">
        <v>719</v>
      </c>
      <c r="C255" s="245"/>
      <c r="D255" s="236"/>
      <c r="E255" s="231">
        <v>250</v>
      </c>
      <c r="F255" s="54">
        <f t="shared" si="90"/>
        <v>1501</v>
      </c>
      <c r="G255" s="241"/>
      <c r="H255" s="226"/>
      <c r="I255" s="62">
        <f t="shared" si="89"/>
        <v>0</v>
      </c>
      <c r="J255" s="130"/>
      <c r="K255" s="246"/>
      <c r="L255" s="67">
        <f t="shared" si="91"/>
        <v>110670.29999999702</v>
      </c>
    </row>
    <row r="256" spans="1:12" x14ac:dyDescent="0.3">
      <c r="A256" s="32">
        <v>46137</v>
      </c>
      <c r="B256" s="230" t="s">
        <v>720</v>
      </c>
      <c r="C256" s="244"/>
      <c r="D256" s="236"/>
      <c r="E256" s="231"/>
      <c r="F256" s="54">
        <f t="shared" si="90"/>
        <v>1501</v>
      </c>
      <c r="G256" s="240"/>
      <c r="H256" s="226"/>
      <c r="I256" s="62">
        <f t="shared" si="89"/>
        <v>0</v>
      </c>
      <c r="J256" s="264"/>
      <c r="K256" s="246">
        <v>30000</v>
      </c>
      <c r="L256" s="67">
        <f t="shared" si="91"/>
        <v>80670.29999999702</v>
      </c>
    </row>
    <row r="257" spans="1:12" x14ac:dyDescent="0.3">
      <c r="A257" s="32">
        <v>46137</v>
      </c>
      <c r="B257" s="232" t="s">
        <v>721</v>
      </c>
      <c r="C257" s="244">
        <v>240</v>
      </c>
      <c r="D257" s="236"/>
      <c r="E257" s="231"/>
      <c r="F257" s="107">
        <f t="shared" si="90"/>
        <v>1741</v>
      </c>
      <c r="G257" s="240"/>
      <c r="H257" s="226"/>
      <c r="I257" s="62">
        <f t="shared" si="89"/>
        <v>0</v>
      </c>
      <c r="J257" s="264">
        <v>8000</v>
      </c>
      <c r="K257" s="246"/>
      <c r="L257" s="67">
        <f t="shared" si="91"/>
        <v>88670.29999999702</v>
      </c>
    </row>
    <row r="258" spans="1:12" x14ac:dyDescent="0.3">
      <c r="A258" s="32"/>
      <c r="B258" s="230"/>
      <c r="C258" s="245"/>
      <c r="D258" s="235"/>
      <c r="E258" s="231"/>
      <c r="F258" s="54">
        <f t="shared" ref="F258:F270" si="92">+F257+C258+D258-E258</f>
        <v>1741</v>
      </c>
      <c r="G258" s="240"/>
      <c r="H258" s="226"/>
      <c r="I258" s="62">
        <f t="shared" ref="I258:I270" si="93">I257++G258-H258</f>
        <v>0</v>
      </c>
      <c r="J258" s="247"/>
      <c r="K258" s="246"/>
      <c r="L258" s="67">
        <f t="shared" ref="L258:L270" si="94">L257++J258-K258</f>
        <v>88670.29999999702</v>
      </c>
    </row>
    <row r="259" spans="1:12" x14ac:dyDescent="0.3">
      <c r="A259" s="32">
        <v>46139</v>
      </c>
      <c r="B259" s="230" t="s">
        <v>89</v>
      </c>
      <c r="C259" s="244"/>
      <c r="D259" s="236"/>
      <c r="E259" s="231">
        <v>70</v>
      </c>
      <c r="F259" s="54">
        <f>+F258+C259+D259-E259</f>
        <v>1671</v>
      </c>
      <c r="G259" s="240"/>
      <c r="H259" s="226">
        <v>0</v>
      </c>
      <c r="I259" s="62">
        <f t="shared" ref="I259:I269" si="95">+I258+G259-H259</f>
        <v>0</v>
      </c>
      <c r="J259" s="247"/>
      <c r="K259" s="246"/>
      <c r="L259" s="67">
        <f>+L258+J259-K259</f>
        <v>88670.29999999702</v>
      </c>
    </row>
    <row r="260" spans="1:12" x14ac:dyDescent="0.3">
      <c r="A260" s="32">
        <v>46139</v>
      </c>
      <c r="B260" s="230" t="s">
        <v>413</v>
      </c>
      <c r="C260" s="244"/>
      <c r="D260" s="236"/>
      <c r="E260" s="231">
        <v>10</v>
      </c>
      <c r="F260" s="54">
        <f t="shared" ref="F260:F269" si="96">+F259+C260+D260-E260</f>
        <v>1661</v>
      </c>
      <c r="G260" s="241"/>
      <c r="H260" s="226"/>
      <c r="I260" s="62">
        <f t="shared" si="95"/>
        <v>0</v>
      </c>
      <c r="J260" s="247"/>
      <c r="K260" s="246"/>
      <c r="L260" s="67">
        <f t="shared" ref="L260:L269" si="97">+L259+J260-K260</f>
        <v>88670.29999999702</v>
      </c>
    </row>
    <row r="261" spans="1:12" x14ac:dyDescent="0.3">
      <c r="A261" s="32">
        <v>46139</v>
      </c>
      <c r="B261" s="230" t="s">
        <v>17</v>
      </c>
      <c r="C261" s="244"/>
      <c r="D261" s="237"/>
      <c r="E261" s="231">
        <v>60</v>
      </c>
      <c r="F261" s="54">
        <f t="shared" si="96"/>
        <v>1601</v>
      </c>
      <c r="G261" s="241"/>
      <c r="H261" s="226"/>
      <c r="I261" s="62">
        <f t="shared" si="95"/>
        <v>0</v>
      </c>
      <c r="J261" s="130"/>
      <c r="K261" s="246"/>
      <c r="L261" s="67">
        <f t="shared" si="97"/>
        <v>88670.29999999702</v>
      </c>
    </row>
    <row r="262" spans="1:12" x14ac:dyDescent="0.3">
      <c r="A262" s="32">
        <v>46139</v>
      </c>
      <c r="B262" s="230" t="s">
        <v>722</v>
      </c>
      <c r="C262" s="244"/>
      <c r="D262" s="237"/>
      <c r="E262" s="231"/>
      <c r="F262" s="54">
        <f t="shared" si="96"/>
        <v>1601</v>
      </c>
      <c r="G262" s="241"/>
      <c r="H262" s="280"/>
      <c r="I262" s="62">
        <f t="shared" si="95"/>
        <v>0</v>
      </c>
      <c r="J262" s="37"/>
      <c r="K262" s="246">
        <v>45000</v>
      </c>
      <c r="L262" s="67">
        <f t="shared" si="97"/>
        <v>43670.29999999702</v>
      </c>
    </row>
    <row r="263" spans="1:12" x14ac:dyDescent="0.3">
      <c r="A263" s="32">
        <v>46139</v>
      </c>
      <c r="B263" s="222" t="s">
        <v>723</v>
      </c>
      <c r="C263" s="244"/>
      <c r="D263" s="237">
        <v>10000</v>
      </c>
      <c r="E263" s="231"/>
      <c r="F263" s="54">
        <f t="shared" si="96"/>
        <v>11601</v>
      </c>
      <c r="G263" s="240"/>
      <c r="H263" s="226"/>
      <c r="I263" s="62">
        <f t="shared" si="95"/>
        <v>0</v>
      </c>
      <c r="J263" s="229"/>
      <c r="K263" s="246"/>
      <c r="L263" s="67">
        <f t="shared" si="97"/>
        <v>43670.29999999702</v>
      </c>
    </row>
    <row r="264" spans="1:12" x14ac:dyDescent="0.3">
      <c r="A264" s="32">
        <v>46139</v>
      </c>
      <c r="B264" s="232" t="s">
        <v>724</v>
      </c>
      <c r="C264" s="244"/>
      <c r="D264" s="236"/>
      <c r="E264" s="83">
        <v>10000</v>
      </c>
      <c r="F264" s="54">
        <f t="shared" si="96"/>
        <v>1601</v>
      </c>
      <c r="G264" s="240"/>
      <c r="H264" s="226"/>
      <c r="I264" s="62">
        <f t="shared" si="95"/>
        <v>0</v>
      </c>
      <c r="J264" s="271"/>
      <c r="K264" s="246"/>
      <c r="L264" s="67">
        <f t="shared" si="97"/>
        <v>43670.29999999702</v>
      </c>
    </row>
    <row r="265" spans="1:12" x14ac:dyDescent="0.3">
      <c r="A265" s="32">
        <v>46139</v>
      </c>
      <c r="B265" s="230" t="s">
        <v>725</v>
      </c>
      <c r="C265" s="244"/>
      <c r="D265" s="236"/>
      <c r="E265" s="231">
        <v>408</v>
      </c>
      <c r="F265" s="54">
        <f t="shared" si="96"/>
        <v>1193</v>
      </c>
      <c r="G265" s="240"/>
      <c r="H265" s="228"/>
      <c r="I265" s="62">
        <f t="shared" si="95"/>
        <v>0</v>
      </c>
      <c r="J265" s="266"/>
      <c r="K265" s="246"/>
      <c r="L265" s="67">
        <f t="shared" si="97"/>
        <v>43670.29999999702</v>
      </c>
    </row>
    <row r="266" spans="1:12" x14ac:dyDescent="0.3">
      <c r="A266" s="32">
        <v>46139</v>
      </c>
      <c r="B266" s="230" t="s">
        <v>726</v>
      </c>
      <c r="C266" s="245"/>
      <c r="D266" s="236"/>
      <c r="E266" s="231">
        <v>586</v>
      </c>
      <c r="F266" s="54">
        <f t="shared" si="96"/>
        <v>607</v>
      </c>
      <c r="G266" s="241"/>
      <c r="H266" s="226"/>
      <c r="I266" s="62">
        <f t="shared" si="95"/>
        <v>0</v>
      </c>
      <c r="J266" s="130"/>
      <c r="K266" s="246"/>
      <c r="L266" s="67">
        <f t="shared" si="97"/>
        <v>43670.29999999702</v>
      </c>
    </row>
    <row r="267" spans="1:12" x14ac:dyDescent="0.3">
      <c r="A267" s="32">
        <v>46139</v>
      </c>
      <c r="B267" s="230" t="s">
        <v>45</v>
      </c>
      <c r="C267" s="244"/>
      <c r="D267" s="236"/>
      <c r="E267" s="231">
        <v>80</v>
      </c>
      <c r="F267" s="54">
        <f t="shared" si="96"/>
        <v>527</v>
      </c>
      <c r="G267" s="240"/>
      <c r="H267" s="226"/>
      <c r="I267" s="62">
        <f t="shared" si="95"/>
        <v>0</v>
      </c>
      <c r="J267" s="264"/>
      <c r="K267" s="246"/>
      <c r="L267" s="67">
        <f t="shared" si="97"/>
        <v>43670.29999999702</v>
      </c>
    </row>
    <row r="268" spans="1:12" x14ac:dyDescent="0.3">
      <c r="A268" s="32">
        <v>46139</v>
      </c>
      <c r="B268" s="232" t="s">
        <v>25</v>
      </c>
      <c r="C268" s="244"/>
      <c r="D268" s="236"/>
      <c r="E268" s="231">
        <v>20</v>
      </c>
      <c r="F268" s="54">
        <f t="shared" si="96"/>
        <v>507</v>
      </c>
      <c r="G268" s="240"/>
      <c r="H268" s="226"/>
      <c r="I268" s="62">
        <f t="shared" si="95"/>
        <v>0</v>
      </c>
      <c r="J268" s="264"/>
      <c r="K268" s="246"/>
      <c r="L268" s="67">
        <f t="shared" si="97"/>
        <v>43670.29999999702</v>
      </c>
    </row>
    <row r="269" spans="1:12" x14ac:dyDescent="0.3">
      <c r="A269" s="32">
        <v>46139</v>
      </c>
      <c r="B269" s="230" t="s">
        <v>292</v>
      </c>
      <c r="C269" s="244"/>
      <c r="D269" s="236"/>
      <c r="E269" s="231">
        <v>40</v>
      </c>
      <c r="F269" s="107">
        <f t="shared" si="96"/>
        <v>467</v>
      </c>
      <c r="G269" s="240"/>
      <c r="H269" s="226"/>
      <c r="I269" s="62">
        <f t="shared" si="95"/>
        <v>0</v>
      </c>
      <c r="J269" s="248"/>
      <c r="K269" s="246"/>
      <c r="L269" s="67">
        <f t="shared" si="97"/>
        <v>43670.29999999702</v>
      </c>
    </row>
    <row r="270" spans="1:12" x14ac:dyDescent="0.3">
      <c r="A270" s="32"/>
      <c r="B270" s="230"/>
      <c r="C270" s="245"/>
      <c r="D270" s="235"/>
      <c r="E270" s="231"/>
      <c r="F270" s="54">
        <f t="shared" si="92"/>
        <v>467</v>
      </c>
      <c r="G270" s="223"/>
      <c r="H270" s="227"/>
      <c r="I270" s="62">
        <f t="shared" si="93"/>
        <v>0</v>
      </c>
      <c r="J270" s="229"/>
      <c r="K270" s="246"/>
      <c r="L270" s="67">
        <f t="shared" si="94"/>
        <v>43670.29999999702</v>
      </c>
    </row>
    <row r="271" spans="1:12" x14ac:dyDescent="0.3">
      <c r="A271" s="32">
        <v>46140</v>
      </c>
      <c r="B271" s="230" t="s">
        <v>90</v>
      </c>
      <c r="C271" s="244"/>
      <c r="D271" s="236"/>
      <c r="E271" s="231"/>
      <c r="F271" s="54">
        <f>+F270+C271+D271-E271</f>
        <v>467</v>
      </c>
      <c r="G271" s="240"/>
      <c r="H271" s="226">
        <v>0</v>
      </c>
      <c r="I271" s="62">
        <f t="shared" ref="I271:I286" si="98">+I270+G271-H271</f>
        <v>0</v>
      </c>
      <c r="J271" s="247"/>
      <c r="K271" s="246">
        <v>12000</v>
      </c>
      <c r="L271" s="67">
        <f>+L270+J271-K271</f>
        <v>31670.29999999702</v>
      </c>
    </row>
    <row r="272" spans="1:12" x14ac:dyDescent="0.3">
      <c r="A272" s="32">
        <v>46140</v>
      </c>
      <c r="B272" s="230" t="s">
        <v>727</v>
      </c>
      <c r="C272" s="244"/>
      <c r="D272" s="237"/>
      <c r="E272" s="231"/>
      <c r="F272" s="54">
        <f t="shared" ref="F272:F286" si="99">+F271+C272+D272-E272</f>
        <v>467</v>
      </c>
      <c r="G272" s="241"/>
      <c r="H272" s="226"/>
      <c r="I272" s="62">
        <f t="shared" si="98"/>
        <v>0</v>
      </c>
      <c r="J272" s="289">
        <v>12524</v>
      </c>
      <c r="K272" s="246"/>
      <c r="L272" s="67">
        <f t="shared" ref="L272:L286" si="100">+L271+J272-K272</f>
        <v>44194.29999999702</v>
      </c>
    </row>
    <row r="273" spans="1:12" x14ac:dyDescent="0.3">
      <c r="A273" s="32">
        <v>46140</v>
      </c>
      <c r="B273" s="230" t="s">
        <v>728</v>
      </c>
      <c r="C273" s="244"/>
      <c r="D273" s="237"/>
      <c r="E273" s="231">
        <v>40</v>
      </c>
      <c r="F273" s="54">
        <f t="shared" si="99"/>
        <v>427</v>
      </c>
      <c r="G273" s="241"/>
      <c r="H273" s="226"/>
      <c r="I273" s="62">
        <f t="shared" si="98"/>
        <v>0</v>
      </c>
      <c r="J273" s="130"/>
      <c r="K273" s="246"/>
      <c r="L273" s="67">
        <f t="shared" si="100"/>
        <v>44194.29999999702</v>
      </c>
    </row>
    <row r="274" spans="1:12" x14ac:dyDescent="0.3">
      <c r="A274" s="32">
        <v>46140</v>
      </c>
      <c r="B274" s="230" t="s">
        <v>61</v>
      </c>
      <c r="C274" s="244"/>
      <c r="D274" s="237"/>
      <c r="E274" s="231">
        <v>100</v>
      </c>
      <c r="F274" s="54">
        <f t="shared" si="99"/>
        <v>327</v>
      </c>
      <c r="G274" s="241"/>
      <c r="H274" s="280"/>
      <c r="I274" s="62">
        <f t="shared" si="98"/>
        <v>0</v>
      </c>
      <c r="J274" s="37"/>
      <c r="K274" s="246"/>
      <c r="L274" s="67">
        <f t="shared" si="100"/>
        <v>44194.29999999702</v>
      </c>
    </row>
    <row r="275" spans="1:12" x14ac:dyDescent="0.3">
      <c r="A275" s="32">
        <v>46140</v>
      </c>
      <c r="B275" s="222" t="s">
        <v>23</v>
      </c>
      <c r="C275" s="244"/>
      <c r="D275" s="237"/>
      <c r="E275" s="231">
        <v>50</v>
      </c>
      <c r="F275" s="54">
        <f t="shared" si="99"/>
        <v>277</v>
      </c>
      <c r="G275" s="240"/>
      <c r="H275" s="226"/>
      <c r="I275" s="62">
        <f t="shared" si="98"/>
        <v>0</v>
      </c>
      <c r="J275" s="37">
        <v>112500</v>
      </c>
      <c r="K275" s="246"/>
      <c r="L275" s="67">
        <f t="shared" si="100"/>
        <v>156694.29999999702</v>
      </c>
    </row>
    <row r="276" spans="1:12" x14ac:dyDescent="0.3">
      <c r="A276" s="32">
        <v>46140</v>
      </c>
      <c r="B276" s="230" t="s">
        <v>729</v>
      </c>
      <c r="C276" s="244"/>
      <c r="D276" s="236"/>
      <c r="E276" s="231"/>
      <c r="F276" s="54">
        <f t="shared" si="99"/>
        <v>277</v>
      </c>
      <c r="G276" s="240"/>
      <c r="H276" s="226"/>
      <c r="I276" s="62">
        <f t="shared" si="98"/>
        <v>0</v>
      </c>
      <c r="J276" s="229"/>
      <c r="K276" s="246">
        <v>20000</v>
      </c>
      <c r="L276" s="67">
        <f t="shared" si="100"/>
        <v>136694.29999999702</v>
      </c>
    </row>
    <row r="277" spans="1:12" x14ac:dyDescent="0.3">
      <c r="A277" s="32">
        <v>46140</v>
      </c>
      <c r="B277" s="230" t="s">
        <v>234</v>
      </c>
      <c r="C277" s="244"/>
      <c r="D277" s="236"/>
      <c r="E277" s="231">
        <v>50</v>
      </c>
      <c r="F277" s="54">
        <f t="shared" si="99"/>
        <v>227</v>
      </c>
      <c r="G277" s="240"/>
      <c r="H277" s="228"/>
      <c r="I277" s="62">
        <f t="shared" si="98"/>
        <v>0</v>
      </c>
      <c r="J277" s="266"/>
      <c r="K277" s="246"/>
      <c r="L277" s="67">
        <f t="shared" si="100"/>
        <v>136694.29999999702</v>
      </c>
    </row>
    <row r="278" spans="1:12" x14ac:dyDescent="0.3">
      <c r="A278" s="32">
        <v>46140</v>
      </c>
      <c r="B278" s="230" t="s">
        <v>730</v>
      </c>
      <c r="C278" s="245"/>
      <c r="D278" s="236"/>
      <c r="E278" s="231">
        <v>120</v>
      </c>
      <c r="F278" s="54">
        <f t="shared" si="99"/>
        <v>107</v>
      </c>
      <c r="G278" s="241"/>
      <c r="H278" s="226"/>
      <c r="I278" s="62">
        <f t="shared" si="98"/>
        <v>0</v>
      </c>
      <c r="J278" s="130"/>
      <c r="K278" s="246"/>
      <c r="L278" s="67">
        <f t="shared" si="100"/>
        <v>136694.29999999702</v>
      </c>
    </row>
    <row r="279" spans="1:12" x14ac:dyDescent="0.3">
      <c r="A279" s="32">
        <v>46140</v>
      </c>
      <c r="B279" s="230" t="s">
        <v>731</v>
      </c>
      <c r="C279" s="244"/>
      <c r="D279" s="236"/>
      <c r="E279" s="231">
        <v>36</v>
      </c>
      <c r="F279" s="54">
        <f t="shared" si="99"/>
        <v>71</v>
      </c>
      <c r="G279" s="240"/>
      <c r="H279" s="226"/>
      <c r="I279" s="62">
        <f t="shared" si="98"/>
        <v>0</v>
      </c>
      <c r="J279" s="264"/>
      <c r="K279" s="246"/>
      <c r="L279" s="67">
        <f t="shared" si="100"/>
        <v>136694.29999999702</v>
      </c>
    </row>
    <row r="280" spans="1:12" x14ac:dyDescent="0.3">
      <c r="A280" s="32">
        <v>46140</v>
      </c>
      <c r="B280" s="230" t="s">
        <v>732</v>
      </c>
      <c r="C280" s="244"/>
      <c r="D280" s="236"/>
      <c r="E280" s="231"/>
      <c r="F280" s="54">
        <f t="shared" si="99"/>
        <v>71</v>
      </c>
      <c r="G280" s="240"/>
      <c r="H280" s="226"/>
      <c r="I280" s="62">
        <f t="shared" si="98"/>
        <v>0</v>
      </c>
      <c r="J280" s="264"/>
      <c r="K280" s="246">
        <v>10000</v>
      </c>
      <c r="L280" s="67">
        <f t="shared" si="100"/>
        <v>126694.29999999702</v>
      </c>
    </row>
    <row r="281" spans="1:12" x14ac:dyDescent="0.3">
      <c r="A281" s="32">
        <v>46140</v>
      </c>
      <c r="B281" s="230" t="s">
        <v>733</v>
      </c>
      <c r="C281" s="244"/>
      <c r="D281" s="236"/>
      <c r="E281" s="231">
        <v>30</v>
      </c>
      <c r="F281" s="54">
        <f t="shared" si="99"/>
        <v>41</v>
      </c>
      <c r="G281" s="240"/>
      <c r="H281" s="226"/>
      <c r="I281" s="62">
        <f t="shared" si="98"/>
        <v>0</v>
      </c>
      <c r="J281" s="248"/>
      <c r="K281" s="246"/>
      <c r="L281" s="67">
        <f t="shared" si="100"/>
        <v>126694.29999999702</v>
      </c>
    </row>
    <row r="282" spans="1:12" x14ac:dyDescent="0.3">
      <c r="A282" s="32">
        <v>46140</v>
      </c>
      <c r="B282" s="232" t="s">
        <v>734</v>
      </c>
      <c r="C282" s="244">
        <v>243</v>
      </c>
      <c r="D282" s="237"/>
      <c r="E282" s="231"/>
      <c r="F282" s="54">
        <f t="shared" si="99"/>
        <v>284</v>
      </c>
      <c r="G282" s="240"/>
      <c r="H282" s="226"/>
      <c r="I282" s="62">
        <f t="shared" si="98"/>
        <v>0</v>
      </c>
      <c r="J282" s="248">
        <v>1500</v>
      </c>
      <c r="K282" s="246"/>
      <c r="L282" s="67">
        <f t="shared" si="100"/>
        <v>128194.29999999702</v>
      </c>
    </row>
    <row r="283" spans="1:12" x14ac:dyDescent="0.3">
      <c r="A283" s="32">
        <v>46140</v>
      </c>
      <c r="B283" s="232" t="s">
        <v>735</v>
      </c>
      <c r="C283" s="244">
        <v>357</v>
      </c>
      <c r="D283" s="236"/>
      <c r="E283" s="231"/>
      <c r="F283" s="54">
        <f t="shared" si="99"/>
        <v>641</v>
      </c>
      <c r="G283" s="241"/>
      <c r="H283" s="226"/>
      <c r="I283" s="62">
        <f t="shared" si="98"/>
        <v>0</v>
      </c>
      <c r="J283" s="264">
        <v>2000</v>
      </c>
      <c r="K283" s="246"/>
      <c r="L283" s="67">
        <f t="shared" si="100"/>
        <v>130194.29999999702</v>
      </c>
    </row>
    <row r="284" spans="1:12" x14ac:dyDescent="0.3">
      <c r="A284" s="32">
        <v>46140</v>
      </c>
      <c r="B284" s="230" t="s">
        <v>736</v>
      </c>
      <c r="C284" s="244"/>
      <c r="D284" s="237"/>
      <c r="E284" s="231">
        <v>20</v>
      </c>
      <c r="F284" s="54">
        <f t="shared" si="99"/>
        <v>621</v>
      </c>
      <c r="G284" s="241"/>
      <c r="H284" s="226"/>
      <c r="I284" s="62">
        <f t="shared" si="98"/>
        <v>0</v>
      </c>
      <c r="J284" s="248"/>
      <c r="K284" s="246"/>
      <c r="L284" s="67">
        <f t="shared" si="100"/>
        <v>130194.29999999702</v>
      </c>
    </row>
    <row r="285" spans="1:12" x14ac:dyDescent="0.3">
      <c r="A285" s="32">
        <v>46140</v>
      </c>
      <c r="B285" s="234" t="s">
        <v>16</v>
      </c>
      <c r="C285" s="244"/>
      <c r="D285" s="236">
        <v>2000</v>
      </c>
      <c r="E285" s="231"/>
      <c r="F285" s="54">
        <f t="shared" si="99"/>
        <v>2621</v>
      </c>
      <c r="G285" s="242"/>
      <c r="H285" s="227"/>
      <c r="I285" s="62">
        <f t="shared" si="98"/>
        <v>0</v>
      </c>
      <c r="J285" s="271"/>
      <c r="K285" s="246"/>
      <c r="L285" s="67">
        <f t="shared" si="100"/>
        <v>130194.29999999702</v>
      </c>
    </row>
    <row r="286" spans="1:12" x14ac:dyDescent="0.3">
      <c r="A286" s="32">
        <v>46140</v>
      </c>
      <c r="B286" s="230" t="s">
        <v>737</v>
      </c>
      <c r="C286" s="239"/>
      <c r="D286" s="236"/>
      <c r="E286" s="231">
        <v>2000</v>
      </c>
      <c r="F286" s="107">
        <f t="shared" si="99"/>
        <v>621</v>
      </c>
      <c r="G286" s="243"/>
      <c r="H286" s="227"/>
      <c r="I286" s="62">
        <f t="shared" si="98"/>
        <v>0</v>
      </c>
      <c r="J286" s="248"/>
      <c r="K286" s="246"/>
      <c r="L286" s="67">
        <f t="shared" si="100"/>
        <v>130194.29999999702</v>
      </c>
    </row>
    <row r="287" spans="1:12" x14ac:dyDescent="0.3">
      <c r="A287" s="32"/>
      <c r="B287" s="230"/>
      <c r="C287" s="245"/>
      <c r="D287" s="236"/>
      <c r="E287" s="231"/>
      <c r="F287" s="54">
        <f>+F286+C287+D287-E287</f>
        <v>621</v>
      </c>
      <c r="G287" s="240"/>
      <c r="H287" s="226">
        <v>0</v>
      </c>
      <c r="I287" s="62">
        <f>I286++G287-H287</f>
        <v>0</v>
      </c>
      <c r="J287" s="233"/>
      <c r="K287" s="246"/>
      <c r="L287" s="67">
        <f>L286++J287-K287</f>
        <v>130194.29999999702</v>
      </c>
    </row>
    <row r="288" spans="1:12" x14ac:dyDescent="0.3">
      <c r="A288" s="32">
        <v>46141</v>
      </c>
      <c r="B288" s="234" t="s">
        <v>54</v>
      </c>
      <c r="C288" s="244"/>
      <c r="D288" s="236">
        <v>1500</v>
      </c>
      <c r="E288" s="231"/>
      <c r="F288" s="54">
        <f>+F287+C288+D288-E288</f>
        <v>2121</v>
      </c>
      <c r="G288" s="240"/>
      <c r="H288" s="226">
        <v>0</v>
      </c>
      <c r="I288" s="62">
        <f t="shared" ref="I288:I307" si="101">+I287+G288-H288</f>
        <v>0</v>
      </c>
      <c r="J288" s="247"/>
      <c r="K288" s="246"/>
      <c r="L288" s="67">
        <f>+L287+J288-K288</f>
        <v>130194.29999999702</v>
      </c>
    </row>
    <row r="289" spans="1:12" x14ac:dyDescent="0.3">
      <c r="A289" s="32">
        <v>46141</v>
      </c>
      <c r="B289" s="232" t="s">
        <v>738</v>
      </c>
      <c r="C289" s="244">
        <v>210</v>
      </c>
      <c r="D289" s="237"/>
      <c r="E289" s="231"/>
      <c r="F289" s="54">
        <f t="shared" ref="F289:F307" si="102">+F288+C289+D289-E289</f>
        <v>2331</v>
      </c>
      <c r="G289" s="241"/>
      <c r="H289" s="226"/>
      <c r="I289" s="62">
        <f t="shared" si="101"/>
        <v>0</v>
      </c>
      <c r="J289" s="289"/>
      <c r="K289" s="246"/>
      <c r="L289" s="67">
        <f t="shared" ref="L289:L307" si="103">+L288+J289-K289</f>
        <v>130194.29999999702</v>
      </c>
    </row>
    <row r="290" spans="1:12" x14ac:dyDescent="0.3">
      <c r="A290" s="32">
        <v>46141</v>
      </c>
      <c r="B290" s="230" t="s">
        <v>739</v>
      </c>
      <c r="C290" s="244"/>
      <c r="D290" s="237"/>
      <c r="E290" s="231"/>
      <c r="F290" s="54">
        <f t="shared" si="102"/>
        <v>2331</v>
      </c>
      <c r="G290" s="241"/>
      <c r="H290" s="226"/>
      <c r="I290" s="62">
        <f t="shared" si="101"/>
        <v>0</v>
      </c>
      <c r="J290" s="130"/>
      <c r="K290" s="246">
        <v>10000</v>
      </c>
      <c r="L290" s="67">
        <f t="shared" si="103"/>
        <v>120194.29999999702</v>
      </c>
    </row>
    <row r="291" spans="1:12" x14ac:dyDescent="0.3">
      <c r="A291" s="32">
        <v>46141</v>
      </c>
      <c r="B291" s="230" t="s">
        <v>28</v>
      </c>
      <c r="C291" s="244"/>
      <c r="D291" s="237"/>
      <c r="E291" s="231">
        <v>50</v>
      </c>
      <c r="F291" s="54">
        <f t="shared" si="102"/>
        <v>2281</v>
      </c>
      <c r="G291" s="241"/>
      <c r="H291" s="280"/>
      <c r="I291" s="62">
        <f t="shared" si="101"/>
        <v>0</v>
      </c>
      <c r="J291" s="37"/>
      <c r="K291" s="246"/>
      <c r="L291" s="67">
        <f t="shared" si="103"/>
        <v>120194.29999999702</v>
      </c>
    </row>
    <row r="292" spans="1:12" x14ac:dyDescent="0.3">
      <c r="A292" s="32">
        <v>46141</v>
      </c>
      <c r="B292" s="230" t="s">
        <v>740</v>
      </c>
      <c r="C292" s="244"/>
      <c r="D292" s="237"/>
      <c r="E292" s="231">
        <v>200</v>
      </c>
      <c r="F292" s="54">
        <f t="shared" si="102"/>
        <v>2081</v>
      </c>
      <c r="G292" s="240"/>
      <c r="H292" s="226"/>
      <c r="I292" s="62">
        <f t="shared" si="101"/>
        <v>0</v>
      </c>
      <c r="J292" s="37"/>
      <c r="K292" s="246"/>
      <c r="L292" s="67">
        <f t="shared" si="103"/>
        <v>120194.29999999702</v>
      </c>
    </row>
    <row r="293" spans="1:12" x14ac:dyDescent="0.3">
      <c r="A293" s="32">
        <v>46141</v>
      </c>
      <c r="B293" s="230" t="s">
        <v>416</v>
      </c>
      <c r="C293" s="244"/>
      <c r="D293" s="236"/>
      <c r="E293" s="231">
        <v>300</v>
      </c>
      <c r="F293" s="54">
        <f t="shared" si="102"/>
        <v>1781</v>
      </c>
      <c r="G293" s="240"/>
      <c r="H293" s="226"/>
      <c r="I293" s="62">
        <f t="shared" si="101"/>
        <v>0</v>
      </c>
      <c r="J293" s="229"/>
      <c r="K293" s="246"/>
      <c r="L293" s="67">
        <f t="shared" si="103"/>
        <v>120194.29999999702</v>
      </c>
    </row>
    <row r="294" spans="1:12" x14ac:dyDescent="0.3">
      <c r="A294" s="32">
        <v>46141</v>
      </c>
      <c r="B294" s="222" t="s">
        <v>23</v>
      </c>
      <c r="C294" s="244"/>
      <c r="D294" s="236"/>
      <c r="E294" s="231">
        <v>500</v>
      </c>
      <c r="F294" s="54">
        <f t="shared" si="102"/>
        <v>1281</v>
      </c>
      <c r="G294" s="240"/>
      <c r="H294" s="228"/>
      <c r="I294" s="62">
        <f t="shared" si="101"/>
        <v>0</v>
      </c>
      <c r="J294" s="266">
        <v>1125000</v>
      </c>
      <c r="K294" s="246"/>
      <c r="L294" s="67">
        <f t="shared" si="103"/>
        <v>1245194.299999997</v>
      </c>
    </row>
    <row r="295" spans="1:12" x14ac:dyDescent="0.3">
      <c r="A295" s="32">
        <v>46141</v>
      </c>
      <c r="B295" s="230" t="s">
        <v>741</v>
      </c>
      <c r="C295" s="245"/>
      <c r="D295" s="236"/>
      <c r="E295" s="231"/>
      <c r="F295" s="54">
        <f t="shared" si="102"/>
        <v>1281</v>
      </c>
      <c r="G295" s="241"/>
      <c r="H295" s="226"/>
      <c r="I295" s="62">
        <f t="shared" si="101"/>
        <v>0</v>
      </c>
      <c r="J295" s="130"/>
      <c r="K295" s="246">
        <v>107360</v>
      </c>
      <c r="L295" s="67">
        <f t="shared" si="103"/>
        <v>1137834.299999997</v>
      </c>
    </row>
    <row r="296" spans="1:12" x14ac:dyDescent="0.3">
      <c r="A296" s="32">
        <v>46141</v>
      </c>
      <c r="B296" s="230" t="s">
        <v>742</v>
      </c>
      <c r="C296" s="244"/>
      <c r="D296" s="236"/>
      <c r="E296" s="231"/>
      <c r="F296" s="54">
        <f t="shared" si="102"/>
        <v>1281</v>
      </c>
      <c r="G296" s="240"/>
      <c r="H296" s="226"/>
      <c r="I296" s="62">
        <f t="shared" si="101"/>
        <v>0</v>
      </c>
      <c r="J296" s="264"/>
      <c r="K296" s="246">
        <v>75000</v>
      </c>
      <c r="L296" s="67">
        <f t="shared" si="103"/>
        <v>1062834.299999997</v>
      </c>
    </row>
    <row r="297" spans="1:12" x14ac:dyDescent="0.3">
      <c r="A297" s="32">
        <v>46141</v>
      </c>
      <c r="B297" s="230" t="s">
        <v>743</v>
      </c>
      <c r="C297" s="244"/>
      <c r="D297" s="236"/>
      <c r="E297" s="231"/>
      <c r="F297" s="54">
        <f t="shared" si="102"/>
        <v>1281</v>
      </c>
      <c r="G297" s="240"/>
      <c r="H297" s="226"/>
      <c r="I297" s="62">
        <f t="shared" si="101"/>
        <v>0</v>
      </c>
      <c r="J297" s="264"/>
      <c r="K297" s="246">
        <v>50000</v>
      </c>
      <c r="L297" s="67">
        <f t="shared" si="103"/>
        <v>1012834.299999997</v>
      </c>
    </row>
    <row r="298" spans="1:12" x14ac:dyDescent="0.3">
      <c r="A298" s="32">
        <v>46141</v>
      </c>
      <c r="B298" s="230" t="s">
        <v>744</v>
      </c>
      <c r="C298" s="244"/>
      <c r="D298" s="236"/>
      <c r="E298" s="231">
        <v>250</v>
      </c>
      <c r="F298" s="54">
        <f t="shared" si="102"/>
        <v>1031</v>
      </c>
      <c r="G298" s="240"/>
      <c r="H298" s="226"/>
      <c r="I298" s="62">
        <f t="shared" si="101"/>
        <v>0</v>
      </c>
      <c r="J298" s="248"/>
      <c r="K298" s="246">
        <v>10000</v>
      </c>
      <c r="L298" s="67">
        <f t="shared" si="103"/>
        <v>1002834.299999997</v>
      </c>
    </row>
    <row r="299" spans="1:12" x14ac:dyDescent="0.3">
      <c r="A299" s="32">
        <v>46141</v>
      </c>
      <c r="B299" s="222" t="s">
        <v>745</v>
      </c>
      <c r="C299" s="244"/>
      <c r="D299" s="237">
        <v>1600</v>
      </c>
      <c r="E299" s="231"/>
      <c r="F299" s="54">
        <f t="shared" si="102"/>
        <v>2631</v>
      </c>
      <c r="G299" s="240"/>
      <c r="H299" s="226"/>
      <c r="I299" s="62">
        <f t="shared" si="101"/>
        <v>0</v>
      </c>
      <c r="J299" s="248"/>
      <c r="K299" s="246"/>
      <c r="L299" s="67">
        <f t="shared" si="103"/>
        <v>1002834.299999997</v>
      </c>
    </row>
    <row r="300" spans="1:12" x14ac:dyDescent="0.3">
      <c r="A300" s="32">
        <v>46141</v>
      </c>
      <c r="B300" s="232" t="s">
        <v>746</v>
      </c>
      <c r="C300" s="244"/>
      <c r="D300" s="236"/>
      <c r="E300" s="231">
        <v>1600</v>
      </c>
      <c r="F300" s="54">
        <f t="shared" si="102"/>
        <v>1031</v>
      </c>
      <c r="G300" s="241"/>
      <c r="H300" s="226"/>
      <c r="I300" s="62">
        <f t="shared" si="101"/>
        <v>0</v>
      </c>
      <c r="J300" s="264"/>
      <c r="K300" s="246"/>
      <c r="L300" s="67">
        <f t="shared" si="103"/>
        <v>1002834.299999997</v>
      </c>
    </row>
    <row r="301" spans="1:12" x14ac:dyDescent="0.3">
      <c r="A301" s="32">
        <v>46141</v>
      </c>
      <c r="B301" s="230" t="s">
        <v>747</v>
      </c>
      <c r="C301" s="244"/>
      <c r="D301" s="237"/>
      <c r="E301" s="231">
        <v>250</v>
      </c>
      <c r="F301" s="54">
        <f t="shared" si="102"/>
        <v>781</v>
      </c>
      <c r="G301" s="241"/>
      <c r="H301" s="226"/>
      <c r="I301" s="62">
        <f t="shared" si="101"/>
        <v>0</v>
      </c>
      <c r="J301" s="248"/>
      <c r="K301" s="246"/>
      <c r="L301" s="67">
        <f t="shared" si="103"/>
        <v>1002834.299999997</v>
      </c>
    </row>
    <row r="302" spans="1:12" x14ac:dyDescent="0.3">
      <c r="A302" s="32">
        <v>46141</v>
      </c>
      <c r="B302" s="230" t="s">
        <v>748</v>
      </c>
      <c r="C302" s="244"/>
      <c r="D302" s="236"/>
      <c r="E302" s="231"/>
      <c r="F302" s="54">
        <f t="shared" si="102"/>
        <v>781</v>
      </c>
      <c r="G302" s="242"/>
      <c r="H302" s="227"/>
      <c r="I302" s="62">
        <f t="shared" si="101"/>
        <v>0</v>
      </c>
      <c r="J302" s="271"/>
      <c r="K302" s="246">
        <v>35000</v>
      </c>
      <c r="L302" s="67">
        <f t="shared" si="103"/>
        <v>967834.29999999702</v>
      </c>
    </row>
    <row r="303" spans="1:12" x14ac:dyDescent="0.3">
      <c r="A303" s="32">
        <v>46141</v>
      </c>
      <c r="B303" s="232" t="s">
        <v>749</v>
      </c>
      <c r="C303" s="244">
        <v>219</v>
      </c>
      <c r="D303" s="237"/>
      <c r="E303" s="231"/>
      <c r="F303" s="54">
        <f t="shared" si="102"/>
        <v>1000</v>
      </c>
      <c r="G303" s="243"/>
      <c r="H303" s="227"/>
      <c r="I303" s="62">
        <f t="shared" si="101"/>
        <v>0</v>
      </c>
      <c r="J303" s="233">
        <v>500</v>
      </c>
      <c r="K303" s="246"/>
      <c r="L303" s="67">
        <f t="shared" si="103"/>
        <v>968334.29999999702</v>
      </c>
    </row>
    <row r="304" spans="1:12" x14ac:dyDescent="0.3">
      <c r="A304" s="32">
        <v>46141</v>
      </c>
      <c r="B304" s="232" t="s">
        <v>750</v>
      </c>
      <c r="C304" s="239">
        <v>182</v>
      </c>
      <c r="D304" s="237"/>
      <c r="E304" s="231"/>
      <c r="F304" s="54">
        <f t="shared" si="102"/>
        <v>1182</v>
      </c>
      <c r="G304" s="223"/>
      <c r="H304" s="221"/>
      <c r="I304" s="62">
        <f t="shared" si="101"/>
        <v>0</v>
      </c>
      <c r="J304" s="229">
        <v>4000</v>
      </c>
      <c r="K304" s="246"/>
      <c r="L304" s="67">
        <f t="shared" si="103"/>
        <v>972334.29999999702</v>
      </c>
    </row>
    <row r="305" spans="1:12" x14ac:dyDescent="0.3">
      <c r="A305" s="32">
        <v>46141</v>
      </c>
      <c r="B305" s="230" t="s">
        <v>751</v>
      </c>
      <c r="C305" s="244"/>
      <c r="D305" s="236"/>
      <c r="E305" s="231"/>
      <c r="F305" s="54">
        <f t="shared" si="102"/>
        <v>1182</v>
      </c>
      <c r="G305" s="223"/>
      <c r="H305" s="227"/>
      <c r="I305" s="62">
        <f t="shared" si="101"/>
        <v>0</v>
      </c>
      <c r="J305" s="264"/>
      <c r="K305" s="246">
        <v>8000</v>
      </c>
      <c r="L305" s="67">
        <f t="shared" si="103"/>
        <v>964334.29999999702</v>
      </c>
    </row>
    <row r="306" spans="1:12" x14ac:dyDescent="0.3">
      <c r="A306" s="32">
        <v>46141</v>
      </c>
      <c r="B306" s="230" t="s">
        <v>752</v>
      </c>
      <c r="C306" s="244"/>
      <c r="D306" s="236"/>
      <c r="E306" s="231"/>
      <c r="F306" s="54">
        <f t="shared" si="102"/>
        <v>1182</v>
      </c>
      <c r="G306" s="223"/>
      <c r="H306" s="227"/>
      <c r="I306" s="62">
        <f t="shared" si="101"/>
        <v>0</v>
      </c>
      <c r="J306" s="264"/>
      <c r="K306" s="246">
        <v>10000</v>
      </c>
      <c r="L306" s="67">
        <f t="shared" si="103"/>
        <v>954334.29999999702</v>
      </c>
    </row>
    <row r="307" spans="1:12" x14ac:dyDescent="0.3">
      <c r="A307" s="32">
        <v>46141</v>
      </c>
      <c r="B307" s="230" t="s">
        <v>753</v>
      </c>
      <c r="C307" s="244"/>
      <c r="D307" s="236"/>
      <c r="E307" s="231"/>
      <c r="F307" s="107">
        <f t="shared" si="102"/>
        <v>1182</v>
      </c>
      <c r="G307" s="223"/>
      <c r="H307" s="227"/>
      <c r="I307" s="62">
        <f t="shared" si="101"/>
        <v>0</v>
      </c>
      <c r="J307" s="271"/>
      <c r="K307" s="246">
        <v>775000</v>
      </c>
      <c r="L307" s="67">
        <f t="shared" si="103"/>
        <v>179334.29999999702</v>
      </c>
    </row>
    <row r="308" spans="1:12" x14ac:dyDescent="0.3">
      <c r="A308" s="32"/>
      <c r="B308" s="230"/>
      <c r="C308" s="112"/>
      <c r="D308" s="235"/>
      <c r="E308" s="231"/>
      <c r="F308" s="54">
        <f t="shared" ref="F308" si="104">+F307+C308+D308-E308</f>
        <v>1182</v>
      </c>
      <c r="G308" s="240"/>
      <c r="H308" s="226"/>
      <c r="I308" s="62">
        <f t="shared" ref="I308" si="105">I307++G308-H308</f>
        <v>0</v>
      </c>
      <c r="J308" s="229"/>
      <c r="K308" s="246"/>
      <c r="L308" s="67">
        <f t="shared" ref="L308:L330" si="106">L307++J308-K308</f>
        <v>179334.29999999702</v>
      </c>
    </row>
    <row r="309" spans="1:12" x14ac:dyDescent="0.3">
      <c r="A309" s="32">
        <v>46142</v>
      </c>
      <c r="B309" s="234" t="s">
        <v>16</v>
      </c>
      <c r="C309" s="244"/>
      <c r="D309" s="236">
        <v>4000</v>
      </c>
      <c r="E309" s="231"/>
      <c r="F309" s="54">
        <f>+F308+C309+D309-E309</f>
        <v>5182</v>
      </c>
      <c r="G309" s="240"/>
      <c r="H309" s="226">
        <v>0</v>
      </c>
      <c r="I309" s="62">
        <f t="shared" ref="I309:I328" si="107">+I308+G309-H309</f>
        <v>0</v>
      </c>
      <c r="J309" s="247"/>
      <c r="K309" s="246"/>
      <c r="L309" s="67">
        <f>+L308+J309-K309</f>
        <v>179334.29999999702</v>
      </c>
    </row>
    <row r="310" spans="1:12" x14ac:dyDescent="0.3">
      <c r="A310" s="32">
        <v>46142</v>
      </c>
      <c r="B310" s="230" t="s">
        <v>19</v>
      </c>
      <c r="C310" s="244"/>
      <c r="D310" s="237"/>
      <c r="E310" s="231">
        <v>50</v>
      </c>
      <c r="F310" s="54">
        <f t="shared" ref="F310:F328" si="108">+F309+C310+D310-E310</f>
        <v>5132</v>
      </c>
      <c r="G310" s="241"/>
      <c r="H310" s="226"/>
      <c r="I310" s="62">
        <f t="shared" si="107"/>
        <v>0</v>
      </c>
      <c r="J310" s="289"/>
      <c r="K310" s="246"/>
      <c r="L310" s="67">
        <f t="shared" ref="L310:L328" si="109">+L309+J310-K310</f>
        <v>179334.29999999702</v>
      </c>
    </row>
    <row r="311" spans="1:12" x14ac:dyDescent="0.3">
      <c r="A311" s="32">
        <v>46142</v>
      </c>
      <c r="B311" s="230" t="s">
        <v>48</v>
      </c>
      <c r="C311" s="244"/>
      <c r="D311" s="237"/>
      <c r="E311" s="231">
        <v>70</v>
      </c>
      <c r="F311" s="54">
        <f t="shared" si="108"/>
        <v>5062</v>
      </c>
      <c r="G311" s="241"/>
      <c r="H311" s="226"/>
      <c r="I311" s="62">
        <f t="shared" si="107"/>
        <v>0</v>
      </c>
      <c r="J311" s="130"/>
      <c r="K311" s="246"/>
      <c r="L311" s="67">
        <f t="shared" si="109"/>
        <v>179334.29999999702</v>
      </c>
    </row>
    <row r="312" spans="1:12" x14ac:dyDescent="0.3">
      <c r="A312" s="32">
        <v>46142</v>
      </c>
      <c r="B312" s="230" t="s">
        <v>754</v>
      </c>
      <c r="C312" s="244"/>
      <c r="D312" s="237"/>
      <c r="E312" s="231"/>
      <c r="F312" s="54">
        <f t="shared" si="108"/>
        <v>5062</v>
      </c>
      <c r="G312" s="241"/>
      <c r="H312" s="280"/>
      <c r="I312" s="62">
        <f t="shared" si="107"/>
        <v>0</v>
      </c>
      <c r="J312" s="37"/>
      <c r="K312" s="246">
        <v>10000</v>
      </c>
      <c r="L312" s="67">
        <f t="shared" si="109"/>
        <v>169334.29999999702</v>
      </c>
    </row>
    <row r="313" spans="1:12" x14ac:dyDescent="0.3">
      <c r="A313" s="32">
        <v>46142</v>
      </c>
      <c r="B313" s="230" t="s">
        <v>755</v>
      </c>
      <c r="C313" s="244"/>
      <c r="D313" s="237"/>
      <c r="E313" s="231">
        <v>450</v>
      </c>
      <c r="F313" s="54">
        <f t="shared" si="108"/>
        <v>4612</v>
      </c>
      <c r="G313" s="240"/>
      <c r="H313" s="226"/>
      <c r="I313" s="62">
        <f t="shared" si="107"/>
        <v>0</v>
      </c>
      <c r="J313" s="37"/>
      <c r="K313" s="246"/>
      <c r="L313" s="67">
        <f t="shared" si="109"/>
        <v>169334.29999999702</v>
      </c>
    </row>
    <row r="314" spans="1:12" x14ac:dyDescent="0.3">
      <c r="A314" s="32">
        <v>46142</v>
      </c>
      <c r="B314" s="230" t="s">
        <v>756</v>
      </c>
      <c r="C314" s="244"/>
      <c r="D314" s="236"/>
      <c r="E314" s="231">
        <v>420</v>
      </c>
      <c r="F314" s="54">
        <f t="shared" si="108"/>
        <v>4192</v>
      </c>
      <c r="G314" s="240"/>
      <c r="H314" s="226"/>
      <c r="I314" s="62">
        <f t="shared" si="107"/>
        <v>0</v>
      </c>
      <c r="J314" s="229"/>
      <c r="K314" s="246"/>
      <c r="L314" s="67">
        <f t="shared" si="109"/>
        <v>169334.29999999702</v>
      </c>
    </row>
    <row r="315" spans="1:12" x14ac:dyDescent="0.3">
      <c r="A315" s="32">
        <v>46142</v>
      </c>
      <c r="B315" s="230" t="s">
        <v>757</v>
      </c>
      <c r="C315" s="244"/>
      <c r="D315" s="236"/>
      <c r="E315" s="231">
        <v>47</v>
      </c>
      <c r="F315" s="54">
        <f t="shared" si="108"/>
        <v>4145</v>
      </c>
      <c r="G315" s="240"/>
      <c r="H315" s="228"/>
      <c r="I315" s="62">
        <f t="shared" si="107"/>
        <v>0</v>
      </c>
      <c r="J315" s="266"/>
      <c r="K315" s="246"/>
      <c r="L315" s="67">
        <f t="shared" si="109"/>
        <v>169334.29999999702</v>
      </c>
    </row>
    <row r="316" spans="1:12" x14ac:dyDescent="0.3">
      <c r="A316" s="32">
        <v>46142</v>
      </c>
      <c r="B316" s="230" t="s">
        <v>758</v>
      </c>
      <c r="C316" s="245"/>
      <c r="D316" s="236"/>
      <c r="E316" s="231">
        <v>20</v>
      </c>
      <c r="F316" s="54">
        <f t="shared" si="108"/>
        <v>4125</v>
      </c>
      <c r="G316" s="241"/>
      <c r="H316" s="226"/>
      <c r="I316" s="62">
        <f t="shared" si="107"/>
        <v>0</v>
      </c>
      <c r="J316" s="130"/>
      <c r="K316" s="246"/>
      <c r="L316" s="67">
        <f t="shared" si="109"/>
        <v>169334.29999999702</v>
      </c>
    </row>
    <row r="317" spans="1:12" x14ac:dyDescent="0.3">
      <c r="A317" s="32">
        <v>46142</v>
      </c>
      <c r="B317" s="230" t="s">
        <v>759</v>
      </c>
      <c r="C317" s="244"/>
      <c r="D317" s="236"/>
      <c r="E317" s="231">
        <v>91</v>
      </c>
      <c r="F317" s="54">
        <f t="shared" si="108"/>
        <v>4034</v>
      </c>
      <c r="G317" s="240"/>
      <c r="H317" s="226"/>
      <c r="I317" s="62">
        <f t="shared" si="107"/>
        <v>0</v>
      </c>
      <c r="J317" s="264"/>
      <c r="K317" s="246"/>
      <c r="L317" s="67">
        <f t="shared" si="109"/>
        <v>169334.29999999702</v>
      </c>
    </row>
    <row r="318" spans="1:12" x14ac:dyDescent="0.3">
      <c r="A318" s="32">
        <v>46142</v>
      </c>
      <c r="B318" s="230" t="s">
        <v>760</v>
      </c>
      <c r="C318" s="244"/>
      <c r="D318" s="236"/>
      <c r="E318" s="231">
        <v>2250</v>
      </c>
      <c r="F318" s="54">
        <f t="shared" si="108"/>
        <v>1784</v>
      </c>
      <c r="G318" s="240"/>
      <c r="H318" s="226"/>
      <c r="I318" s="62">
        <f t="shared" si="107"/>
        <v>0</v>
      </c>
      <c r="J318" s="264"/>
      <c r="K318" s="246"/>
      <c r="L318" s="67">
        <f t="shared" si="109"/>
        <v>169334.29999999702</v>
      </c>
    </row>
    <row r="319" spans="1:12" x14ac:dyDescent="0.3">
      <c r="A319" s="32">
        <v>46142</v>
      </c>
      <c r="B319" s="230" t="s">
        <v>761</v>
      </c>
      <c r="C319" s="244"/>
      <c r="D319" s="236"/>
      <c r="E319" s="231">
        <v>840</v>
      </c>
      <c r="F319" s="54">
        <f t="shared" si="108"/>
        <v>944</v>
      </c>
      <c r="G319" s="240"/>
      <c r="H319" s="226"/>
      <c r="I319" s="62">
        <f t="shared" si="107"/>
        <v>0</v>
      </c>
      <c r="J319" s="248"/>
      <c r="K319" s="246"/>
      <c r="L319" s="67">
        <f t="shared" si="109"/>
        <v>169334.29999999702</v>
      </c>
    </row>
    <row r="320" spans="1:12" x14ac:dyDescent="0.3">
      <c r="A320" s="32">
        <v>46142</v>
      </c>
      <c r="B320" s="230" t="s">
        <v>762</v>
      </c>
      <c r="C320" s="244"/>
      <c r="D320" s="237"/>
      <c r="E320" s="231">
        <v>150</v>
      </c>
      <c r="F320" s="54">
        <f t="shared" si="108"/>
        <v>794</v>
      </c>
      <c r="G320" s="240"/>
      <c r="H320" s="226"/>
      <c r="I320" s="62">
        <f t="shared" si="107"/>
        <v>0</v>
      </c>
      <c r="J320" s="248"/>
      <c r="K320" s="246"/>
      <c r="L320" s="67">
        <f t="shared" si="109"/>
        <v>169334.29999999702</v>
      </c>
    </row>
    <row r="321" spans="1:12" x14ac:dyDescent="0.3">
      <c r="A321" s="32">
        <v>46142</v>
      </c>
      <c r="B321" s="222" t="s">
        <v>23</v>
      </c>
      <c r="C321" s="244"/>
      <c r="D321" s="236"/>
      <c r="E321" s="231">
        <v>150</v>
      </c>
      <c r="F321" s="54">
        <f t="shared" si="108"/>
        <v>644</v>
      </c>
      <c r="G321" s="241"/>
      <c r="H321" s="226"/>
      <c r="I321" s="62">
        <f t="shared" si="107"/>
        <v>0</v>
      </c>
      <c r="J321" s="271">
        <v>337500</v>
      </c>
      <c r="K321" s="246"/>
      <c r="L321" s="67">
        <f t="shared" si="109"/>
        <v>506834.29999999702</v>
      </c>
    </row>
    <row r="322" spans="1:12" x14ac:dyDescent="0.3">
      <c r="A322" s="32">
        <v>46142</v>
      </c>
      <c r="B322" s="230" t="s">
        <v>763</v>
      </c>
      <c r="C322" s="244"/>
      <c r="D322" s="237"/>
      <c r="E322" s="231"/>
      <c r="F322" s="54">
        <f t="shared" si="108"/>
        <v>644</v>
      </c>
      <c r="G322" s="241"/>
      <c r="H322" s="226"/>
      <c r="I322" s="62">
        <f t="shared" si="107"/>
        <v>0</v>
      </c>
      <c r="J322" s="248"/>
      <c r="K322" s="246">
        <v>60000</v>
      </c>
      <c r="L322" s="67">
        <f t="shared" si="109"/>
        <v>446834.29999999702</v>
      </c>
    </row>
    <row r="323" spans="1:12" x14ac:dyDescent="0.3">
      <c r="A323" s="32">
        <v>46142</v>
      </c>
      <c r="B323" s="230" t="s">
        <v>764</v>
      </c>
      <c r="C323" s="244"/>
      <c r="D323" s="236"/>
      <c r="E323" s="231"/>
      <c r="F323" s="54">
        <f t="shared" si="108"/>
        <v>644</v>
      </c>
      <c r="G323" s="242"/>
      <c r="H323" s="227"/>
      <c r="I323" s="62">
        <f t="shared" si="107"/>
        <v>0</v>
      </c>
      <c r="J323" s="271"/>
      <c r="K323" s="246">
        <v>150000</v>
      </c>
      <c r="L323" s="67">
        <f t="shared" si="109"/>
        <v>296834.29999999702</v>
      </c>
    </row>
    <row r="324" spans="1:12" x14ac:dyDescent="0.3">
      <c r="A324" s="32">
        <v>46142</v>
      </c>
      <c r="B324" s="230" t="s">
        <v>765</v>
      </c>
      <c r="C324" s="244"/>
      <c r="D324" s="237"/>
      <c r="E324" s="231"/>
      <c r="F324" s="54">
        <f t="shared" si="108"/>
        <v>644</v>
      </c>
      <c r="G324" s="243"/>
      <c r="H324" s="227"/>
      <c r="I324" s="62">
        <f t="shared" si="107"/>
        <v>0</v>
      </c>
      <c r="J324" s="233"/>
      <c r="K324" s="246">
        <v>36720</v>
      </c>
      <c r="L324" s="67">
        <f t="shared" si="109"/>
        <v>260114.29999999702</v>
      </c>
    </row>
    <row r="325" spans="1:12" x14ac:dyDescent="0.3">
      <c r="A325" s="32">
        <v>46142</v>
      </c>
      <c r="B325" s="230" t="s">
        <v>766</v>
      </c>
      <c r="C325" s="239"/>
      <c r="D325" s="237"/>
      <c r="E325" s="231"/>
      <c r="F325" s="54">
        <f t="shared" si="108"/>
        <v>644</v>
      </c>
      <c r="G325" s="223"/>
      <c r="H325" s="221"/>
      <c r="I325" s="62">
        <f t="shared" si="107"/>
        <v>0</v>
      </c>
      <c r="J325" s="229"/>
      <c r="K325" s="246">
        <v>24000</v>
      </c>
      <c r="L325" s="67">
        <f t="shared" si="109"/>
        <v>236114.29999999702</v>
      </c>
    </row>
    <row r="326" spans="1:12" x14ac:dyDescent="0.3">
      <c r="A326" s="32">
        <v>46142</v>
      </c>
      <c r="B326" s="230" t="s">
        <v>767</v>
      </c>
      <c r="C326" s="244"/>
      <c r="D326" s="236"/>
      <c r="E326" s="231"/>
      <c r="F326" s="54">
        <f t="shared" si="108"/>
        <v>644</v>
      </c>
      <c r="G326" s="223"/>
      <c r="H326" s="227"/>
      <c r="I326" s="62">
        <f t="shared" si="107"/>
        <v>0</v>
      </c>
      <c r="J326" s="264"/>
      <c r="K326" s="246">
        <v>81500</v>
      </c>
      <c r="L326" s="67">
        <f t="shared" si="109"/>
        <v>154614.29999999702</v>
      </c>
    </row>
    <row r="327" spans="1:12" x14ac:dyDescent="0.3">
      <c r="A327" s="32">
        <v>46142</v>
      </c>
      <c r="B327" s="230" t="s">
        <v>768</v>
      </c>
      <c r="C327" s="244"/>
      <c r="D327" s="236"/>
      <c r="E327" s="231">
        <v>10</v>
      </c>
      <c r="F327" s="54">
        <f t="shared" si="108"/>
        <v>634</v>
      </c>
      <c r="G327" s="223"/>
      <c r="H327" s="227"/>
      <c r="I327" s="62">
        <f t="shared" si="107"/>
        <v>0</v>
      </c>
      <c r="J327" s="264"/>
      <c r="K327" s="246"/>
      <c r="L327" s="67">
        <f t="shared" si="109"/>
        <v>154614.29999999702</v>
      </c>
    </row>
    <row r="328" spans="1:12" x14ac:dyDescent="0.3">
      <c r="A328" s="32">
        <v>46142</v>
      </c>
      <c r="B328" s="232" t="s">
        <v>769</v>
      </c>
      <c r="C328" s="244">
        <v>550</v>
      </c>
      <c r="D328" s="236"/>
      <c r="E328" s="231"/>
      <c r="F328" s="107">
        <f t="shared" si="108"/>
        <v>1184</v>
      </c>
      <c r="G328" s="223"/>
      <c r="H328" s="227"/>
      <c r="I328" s="62">
        <f t="shared" si="107"/>
        <v>0</v>
      </c>
      <c r="J328" s="264">
        <v>3000</v>
      </c>
      <c r="K328" s="246"/>
      <c r="L328" s="67">
        <f t="shared" si="109"/>
        <v>157614.29999999702</v>
      </c>
    </row>
    <row r="329" spans="1:12" x14ac:dyDescent="0.3">
      <c r="A329" s="291"/>
      <c r="B329" s="293"/>
      <c r="C329" s="294"/>
      <c r="D329" s="118"/>
      <c r="E329" s="231"/>
      <c r="F329" s="54">
        <f t="shared" ref="F329:F330" si="110">+F328+C329+D329-E329</f>
        <v>1184</v>
      </c>
      <c r="G329" s="240"/>
      <c r="H329" s="226"/>
      <c r="I329" s="62">
        <f t="shared" ref="I329:I330" si="111">I328++G329-H329</f>
        <v>0</v>
      </c>
      <c r="J329" s="229"/>
      <c r="K329" s="246"/>
      <c r="L329" s="67">
        <f t="shared" si="106"/>
        <v>157614.29999999702</v>
      </c>
    </row>
    <row r="330" spans="1:12" ht="15" thickBot="1" x14ac:dyDescent="0.35">
      <c r="A330" s="34"/>
      <c r="B330" s="292"/>
      <c r="C330" s="82"/>
      <c r="D330" s="59"/>
      <c r="E330" s="66"/>
      <c r="F330" s="54">
        <f t="shared" si="110"/>
        <v>1184</v>
      </c>
      <c r="G330" s="59"/>
      <c r="H330" s="60"/>
      <c r="I330" s="62">
        <f t="shared" si="111"/>
        <v>0</v>
      </c>
      <c r="J330" s="72"/>
      <c r="K330" s="79"/>
      <c r="L330" s="67">
        <f t="shared" si="106"/>
        <v>157614.29999999702</v>
      </c>
    </row>
    <row r="331" spans="1:12" ht="15" thickBot="1" x14ac:dyDescent="0.35">
      <c r="A331" s="31"/>
      <c r="B331" s="28" t="s">
        <v>21</v>
      </c>
      <c r="C331" s="76"/>
      <c r="D331" s="56"/>
      <c r="E331" s="57"/>
      <c r="F331" s="111">
        <f t="shared" ref="F331" si="112">F330+C331+D331-E331</f>
        <v>1184</v>
      </c>
      <c r="G331" s="105"/>
      <c r="H331" s="58"/>
      <c r="I331" s="256">
        <f t="shared" ref="I331" si="113">I330+G331-H331</f>
        <v>0</v>
      </c>
      <c r="J331" s="63"/>
      <c r="K331" s="80"/>
      <c r="L331" s="259">
        <f>L330+J331-K331</f>
        <v>157614.29999999702</v>
      </c>
    </row>
    <row r="332" spans="1:12" x14ac:dyDescent="0.3">
      <c r="A332" s="30"/>
      <c r="B332" s="29" t="s">
        <v>22</v>
      </c>
      <c r="C332" s="98"/>
      <c r="D332" s="99"/>
      <c r="E332" s="99"/>
      <c r="F332" s="252">
        <v>5080</v>
      </c>
    </row>
  </sheetData>
  <pageMargins left="0.31496062992125984" right="0.19685039370078741" top="0.55118110236220474" bottom="0.35433070866141736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workbookViewId="0">
      <pane xSplit="1" ySplit="5" topLeftCell="B116" activePane="bottomRight" state="frozen"/>
      <selection pane="topRight" activeCell="B1" sqref="B1"/>
      <selection pane="bottomLeft" activeCell="A6" sqref="A6"/>
      <selection pane="bottomRight" activeCell="B68" sqref="B68"/>
    </sheetView>
  </sheetViews>
  <sheetFormatPr baseColWidth="10" defaultRowHeight="14.4" x14ac:dyDescent="0.3"/>
  <cols>
    <col min="1" max="1" width="10.33203125" style="225" customWidth="1"/>
    <col min="2" max="2" width="50.5546875" style="225" bestFit="1" customWidth="1"/>
    <col min="3" max="5" width="11.5546875" style="225"/>
    <col min="6" max="6" width="11.5546875" style="109"/>
    <col min="7" max="7" width="11.5546875" style="225"/>
    <col min="8" max="8" width="12.21875" style="225" bestFit="1" customWidth="1"/>
    <col min="9" max="9" width="11.5546875" style="109"/>
    <col min="10" max="10" width="13.77734375" style="225" customWidth="1"/>
    <col min="11" max="11" width="13.33203125" style="225" customWidth="1"/>
    <col min="12" max="12" width="12.6640625" style="109" bestFit="1" customWidth="1"/>
    <col min="13" max="16384" width="11.5546875" style="225"/>
  </cols>
  <sheetData>
    <row r="1" spans="1:12" ht="18" x14ac:dyDescent="0.35">
      <c r="A1" s="262" t="s">
        <v>0</v>
      </c>
      <c r="B1" s="47"/>
    </row>
    <row r="2" spans="1:12" ht="18.600000000000001" thickBot="1" x14ac:dyDescent="0.4">
      <c r="A2" s="261" t="s">
        <v>47</v>
      </c>
      <c r="B2" s="48"/>
      <c r="L2" s="104">
        <v>46082</v>
      </c>
    </row>
    <row r="3" spans="1:12" ht="16.2" thickBot="1" x14ac:dyDescent="0.35">
      <c r="A3" s="101"/>
      <c r="B3" s="1" t="s">
        <v>1</v>
      </c>
      <c r="C3" s="49"/>
      <c r="D3" s="51" t="s">
        <v>2</v>
      </c>
      <c r="E3" s="52"/>
      <c r="F3" s="106"/>
      <c r="G3" s="52"/>
      <c r="H3" s="50" t="s">
        <v>3</v>
      </c>
      <c r="I3" s="253"/>
      <c r="J3" s="35" t="s">
        <v>4</v>
      </c>
      <c r="K3" s="36"/>
      <c r="L3" s="238"/>
    </row>
    <row r="4" spans="1:12" ht="15" thickBot="1" x14ac:dyDescent="0.35">
      <c r="A4" s="103"/>
      <c r="B4" s="22"/>
      <c r="C4" s="91" t="s">
        <v>5</v>
      </c>
      <c r="D4" s="92" t="s">
        <v>6</v>
      </c>
      <c r="E4" s="93" t="s">
        <v>7</v>
      </c>
      <c r="F4" s="249" t="s">
        <v>8</v>
      </c>
      <c r="G4" s="94" t="s">
        <v>9</v>
      </c>
      <c r="H4" s="95" t="s">
        <v>10</v>
      </c>
      <c r="I4" s="250" t="s">
        <v>11</v>
      </c>
      <c r="J4" s="96" t="s">
        <v>12</v>
      </c>
      <c r="K4" s="97" t="s">
        <v>13</v>
      </c>
      <c r="L4" s="251" t="s">
        <v>14</v>
      </c>
    </row>
    <row r="5" spans="1:12" x14ac:dyDescent="0.3">
      <c r="A5" s="102"/>
      <c r="B5" s="23" t="s">
        <v>15</v>
      </c>
      <c r="C5" s="84"/>
      <c r="D5" s="85">
        <v>47</v>
      </c>
      <c r="E5" s="86"/>
      <c r="F5" s="108">
        <f>D5</f>
        <v>47</v>
      </c>
      <c r="G5" s="87">
        <v>0</v>
      </c>
      <c r="H5" s="88"/>
      <c r="I5" s="254">
        <v>0</v>
      </c>
      <c r="J5" s="89">
        <v>87187</v>
      </c>
      <c r="K5" s="90"/>
      <c r="L5" s="257">
        <f>J5</f>
        <v>87187</v>
      </c>
    </row>
    <row r="6" spans="1:12" x14ac:dyDescent="0.3">
      <c r="A6" s="32">
        <v>46083</v>
      </c>
      <c r="B6" s="234" t="s">
        <v>33</v>
      </c>
      <c r="C6" s="245"/>
      <c r="D6" s="236">
        <v>2000</v>
      </c>
      <c r="E6" s="231"/>
      <c r="F6" s="54">
        <f>+F5+C6+D6-E6</f>
        <v>2047</v>
      </c>
      <c r="G6" s="240"/>
      <c r="H6" s="226">
        <v>0</v>
      </c>
      <c r="I6" s="62">
        <f t="shared" ref="I6:I69" si="0">+I5+G6-H6</f>
        <v>0</v>
      </c>
      <c r="J6" s="247"/>
      <c r="K6" s="246"/>
      <c r="L6" s="67">
        <f>+L5+J6-K6</f>
        <v>87187</v>
      </c>
    </row>
    <row r="7" spans="1:12" x14ac:dyDescent="0.3">
      <c r="A7" s="32">
        <v>46083</v>
      </c>
      <c r="B7" s="230" t="s">
        <v>407</v>
      </c>
      <c r="C7" s="245"/>
      <c r="D7" s="236"/>
      <c r="E7" s="231"/>
      <c r="F7" s="54">
        <f t="shared" ref="F7:F15" si="1">+F6+C7+D7-E7</f>
        <v>2047</v>
      </c>
      <c r="G7" s="241"/>
      <c r="H7" s="226"/>
      <c r="I7" s="62">
        <f t="shared" si="0"/>
        <v>0</v>
      </c>
      <c r="J7" s="229"/>
      <c r="K7" s="246">
        <v>20000</v>
      </c>
      <c r="L7" s="67">
        <f t="shared" ref="L7:L15" si="2">+L6+J7-K7</f>
        <v>67187</v>
      </c>
    </row>
    <row r="8" spans="1:12" x14ac:dyDescent="0.3">
      <c r="A8" s="32">
        <v>46083</v>
      </c>
      <c r="B8" s="230" t="s">
        <v>408</v>
      </c>
      <c r="C8" s="245"/>
      <c r="D8" s="237"/>
      <c r="E8" s="231"/>
      <c r="F8" s="54">
        <f t="shared" si="1"/>
        <v>2047</v>
      </c>
      <c r="G8" s="241"/>
      <c r="H8" s="226"/>
      <c r="I8" s="62">
        <f t="shared" si="0"/>
        <v>0</v>
      </c>
      <c r="J8" s="130"/>
      <c r="K8" s="246">
        <v>10000</v>
      </c>
      <c r="L8" s="67">
        <f t="shared" si="2"/>
        <v>57187</v>
      </c>
    </row>
    <row r="9" spans="1:12" x14ac:dyDescent="0.3">
      <c r="A9" s="32">
        <v>46083</v>
      </c>
      <c r="B9" s="230" t="s">
        <v>44</v>
      </c>
      <c r="C9" s="245"/>
      <c r="D9" s="237"/>
      <c r="E9" s="231">
        <v>50</v>
      </c>
      <c r="F9" s="54">
        <f t="shared" si="1"/>
        <v>1997</v>
      </c>
      <c r="G9" s="241"/>
      <c r="H9" s="280"/>
      <c r="I9" s="62">
        <f t="shared" si="0"/>
        <v>0</v>
      </c>
      <c r="J9" s="37"/>
      <c r="K9" s="246"/>
      <c r="L9" s="67">
        <f t="shared" si="2"/>
        <v>57187</v>
      </c>
    </row>
    <row r="10" spans="1:12" x14ac:dyDescent="0.3">
      <c r="A10" s="32">
        <v>46083</v>
      </c>
      <c r="B10" s="230" t="s">
        <v>42</v>
      </c>
      <c r="C10" s="245"/>
      <c r="D10" s="237"/>
      <c r="E10" s="231">
        <v>80</v>
      </c>
      <c r="F10" s="54">
        <f t="shared" si="1"/>
        <v>1917</v>
      </c>
      <c r="G10" s="240"/>
      <c r="H10" s="226"/>
      <c r="I10" s="62">
        <f t="shared" si="0"/>
        <v>0</v>
      </c>
      <c r="J10" s="229"/>
      <c r="K10" s="246"/>
      <c r="L10" s="67">
        <f t="shared" si="2"/>
        <v>57187</v>
      </c>
    </row>
    <row r="11" spans="1:12" x14ac:dyDescent="0.3">
      <c r="A11" s="32">
        <v>46083</v>
      </c>
      <c r="B11" s="230" t="s">
        <v>25</v>
      </c>
      <c r="C11" s="245"/>
      <c r="D11" s="237"/>
      <c r="E11" s="231">
        <v>20</v>
      </c>
      <c r="F11" s="54">
        <f t="shared" si="1"/>
        <v>1897</v>
      </c>
      <c r="G11" s="240"/>
      <c r="H11" s="226"/>
      <c r="I11" s="62">
        <f t="shared" si="0"/>
        <v>0</v>
      </c>
      <c r="J11" s="264"/>
      <c r="K11" s="246"/>
      <c r="L11" s="67">
        <f t="shared" si="2"/>
        <v>57187</v>
      </c>
    </row>
    <row r="12" spans="1:12" x14ac:dyDescent="0.3">
      <c r="A12" s="32">
        <v>46083</v>
      </c>
      <c r="B12" s="230" t="s">
        <v>292</v>
      </c>
      <c r="C12" s="245"/>
      <c r="D12" s="237"/>
      <c r="E12" s="231">
        <v>40</v>
      </c>
      <c r="F12" s="54">
        <f t="shared" si="1"/>
        <v>1857</v>
      </c>
      <c r="G12" s="240"/>
      <c r="H12" s="228"/>
      <c r="I12" s="62">
        <f t="shared" si="0"/>
        <v>0</v>
      </c>
      <c r="J12" s="266"/>
      <c r="K12" s="246"/>
      <c r="L12" s="67">
        <f t="shared" si="2"/>
        <v>57187</v>
      </c>
    </row>
    <row r="13" spans="1:12" x14ac:dyDescent="0.3">
      <c r="A13" s="32">
        <v>46083</v>
      </c>
      <c r="B13" s="232" t="s">
        <v>409</v>
      </c>
      <c r="C13" s="244">
        <v>243</v>
      </c>
      <c r="D13" s="237"/>
      <c r="E13" s="231"/>
      <c r="F13" s="54">
        <f t="shared" si="1"/>
        <v>2100</v>
      </c>
      <c r="G13" s="241"/>
      <c r="H13" s="226"/>
      <c r="I13" s="62">
        <f t="shared" si="0"/>
        <v>0</v>
      </c>
      <c r="J13" s="233"/>
      <c r="K13" s="246"/>
      <c r="L13" s="67">
        <f t="shared" si="2"/>
        <v>57187</v>
      </c>
    </row>
    <row r="14" spans="1:12" x14ac:dyDescent="0.3">
      <c r="A14" s="32">
        <v>46083</v>
      </c>
      <c r="B14" s="222" t="s">
        <v>23</v>
      </c>
      <c r="C14" s="244"/>
      <c r="D14" s="236"/>
      <c r="E14" s="231">
        <v>50</v>
      </c>
      <c r="F14" s="54">
        <f t="shared" si="1"/>
        <v>2050</v>
      </c>
      <c r="G14" s="240"/>
      <c r="H14" s="226"/>
      <c r="I14" s="62">
        <f t="shared" si="0"/>
        <v>0</v>
      </c>
      <c r="J14" s="271">
        <v>112500</v>
      </c>
      <c r="K14" s="246"/>
      <c r="L14" s="67">
        <f t="shared" si="2"/>
        <v>169687</v>
      </c>
    </row>
    <row r="15" spans="1:12" x14ac:dyDescent="0.3">
      <c r="A15" s="32">
        <v>46083</v>
      </c>
      <c r="B15" s="230" t="s">
        <v>410</v>
      </c>
      <c r="C15" s="244"/>
      <c r="D15" s="236"/>
      <c r="E15" s="231">
        <v>500</v>
      </c>
      <c r="F15" s="107">
        <f t="shared" si="1"/>
        <v>1550</v>
      </c>
      <c r="G15" s="240"/>
      <c r="H15" s="226"/>
      <c r="I15" s="62">
        <f t="shared" si="0"/>
        <v>0</v>
      </c>
      <c r="J15" s="264"/>
      <c r="K15" s="246">
        <v>150000</v>
      </c>
      <c r="L15" s="67">
        <f t="shared" si="2"/>
        <v>19687</v>
      </c>
    </row>
    <row r="16" spans="1:12" x14ac:dyDescent="0.3">
      <c r="A16" s="32">
        <v>46084</v>
      </c>
      <c r="B16" s="230" t="s">
        <v>93</v>
      </c>
      <c r="C16" s="245"/>
      <c r="D16" s="236"/>
      <c r="E16" s="231">
        <v>50</v>
      </c>
      <c r="F16" s="54">
        <f>+F15+C16+D16-E16</f>
        <v>1500</v>
      </c>
      <c r="G16" s="240"/>
      <c r="H16" s="226">
        <v>0</v>
      </c>
      <c r="I16" s="62">
        <f t="shared" si="0"/>
        <v>0</v>
      </c>
      <c r="J16" s="247"/>
      <c r="K16" s="246"/>
      <c r="L16" s="67">
        <f>+L15+J16-K16</f>
        <v>19687</v>
      </c>
    </row>
    <row r="17" spans="1:12" x14ac:dyDescent="0.3">
      <c r="A17" s="32">
        <v>46084</v>
      </c>
      <c r="B17" s="230" t="s">
        <v>36</v>
      </c>
      <c r="C17" s="245"/>
      <c r="D17" s="236"/>
      <c r="E17" s="231">
        <v>50</v>
      </c>
      <c r="F17" s="54">
        <f t="shared" ref="F17:F32" si="3">+F16+C17+D17-E17</f>
        <v>1450</v>
      </c>
      <c r="G17" s="241"/>
      <c r="H17" s="226"/>
      <c r="I17" s="62">
        <f t="shared" si="0"/>
        <v>0</v>
      </c>
      <c r="J17" s="229"/>
      <c r="K17" s="246"/>
      <c r="L17" s="67">
        <f t="shared" ref="L17:L32" si="4">+L16+J17-K17</f>
        <v>19687</v>
      </c>
    </row>
    <row r="18" spans="1:12" x14ac:dyDescent="0.3">
      <c r="A18" s="32">
        <v>46084</v>
      </c>
      <c r="B18" s="230" t="s">
        <v>411</v>
      </c>
      <c r="C18" s="245"/>
      <c r="D18" s="237"/>
      <c r="E18" s="231"/>
      <c r="F18" s="54">
        <f t="shared" si="3"/>
        <v>1450</v>
      </c>
      <c r="G18" s="241"/>
      <c r="H18" s="226"/>
      <c r="I18" s="62">
        <f t="shared" si="0"/>
        <v>0</v>
      </c>
      <c r="J18" s="130"/>
      <c r="K18" s="246">
        <v>20000</v>
      </c>
      <c r="L18" s="67">
        <f t="shared" si="4"/>
        <v>-313</v>
      </c>
    </row>
    <row r="19" spans="1:12" x14ac:dyDescent="0.3">
      <c r="A19" s="32">
        <v>46084</v>
      </c>
      <c r="B19" s="230" t="s">
        <v>412</v>
      </c>
      <c r="C19" s="245"/>
      <c r="D19" s="237"/>
      <c r="E19" s="231">
        <v>70</v>
      </c>
      <c r="F19" s="54">
        <f t="shared" si="3"/>
        <v>1380</v>
      </c>
      <c r="G19" s="241"/>
      <c r="H19" s="280"/>
      <c r="I19" s="62">
        <f t="shared" si="0"/>
        <v>0</v>
      </c>
      <c r="J19" s="37"/>
      <c r="K19" s="246"/>
      <c r="L19" s="67">
        <f t="shared" si="4"/>
        <v>-313</v>
      </c>
    </row>
    <row r="20" spans="1:12" x14ac:dyDescent="0.3">
      <c r="A20" s="32">
        <v>46084</v>
      </c>
      <c r="B20" s="230" t="s">
        <v>413</v>
      </c>
      <c r="C20" s="245"/>
      <c r="D20" s="237"/>
      <c r="E20" s="231">
        <v>10</v>
      </c>
      <c r="F20" s="54">
        <f t="shared" si="3"/>
        <v>1370</v>
      </c>
      <c r="G20" s="240"/>
      <c r="H20" s="226"/>
      <c r="I20" s="62">
        <f t="shared" si="0"/>
        <v>0</v>
      </c>
      <c r="J20" s="229"/>
      <c r="K20" s="246"/>
      <c r="L20" s="67">
        <f t="shared" si="4"/>
        <v>-313</v>
      </c>
    </row>
    <row r="21" spans="1:12" x14ac:dyDescent="0.3">
      <c r="A21" s="32">
        <v>46084</v>
      </c>
      <c r="B21" s="230" t="s">
        <v>28</v>
      </c>
      <c r="C21" s="245"/>
      <c r="D21" s="237"/>
      <c r="E21" s="231">
        <v>50</v>
      </c>
      <c r="F21" s="54">
        <f t="shared" si="3"/>
        <v>1320</v>
      </c>
      <c r="G21" s="240"/>
      <c r="H21" s="226"/>
      <c r="I21" s="62">
        <f t="shared" si="0"/>
        <v>0</v>
      </c>
      <c r="J21" s="264"/>
      <c r="K21" s="246"/>
      <c r="L21" s="67">
        <f t="shared" si="4"/>
        <v>-313</v>
      </c>
    </row>
    <row r="22" spans="1:12" x14ac:dyDescent="0.3">
      <c r="A22" s="32">
        <v>46084</v>
      </c>
      <c r="B22" s="230" t="s">
        <v>20</v>
      </c>
      <c r="C22" s="245"/>
      <c r="D22" s="237"/>
      <c r="E22" s="231">
        <v>100</v>
      </c>
      <c r="F22" s="54">
        <f t="shared" si="3"/>
        <v>1220</v>
      </c>
      <c r="G22" s="240"/>
      <c r="H22" s="228"/>
      <c r="I22" s="62">
        <f t="shared" si="0"/>
        <v>0</v>
      </c>
      <c r="J22" s="266"/>
      <c r="K22" s="246"/>
      <c r="L22" s="67">
        <f t="shared" si="4"/>
        <v>-313</v>
      </c>
    </row>
    <row r="23" spans="1:12" x14ac:dyDescent="0.3">
      <c r="A23" s="32">
        <v>46084</v>
      </c>
      <c r="B23" s="230" t="s">
        <v>48</v>
      </c>
      <c r="C23" s="244"/>
      <c r="D23" s="237"/>
      <c r="E23" s="231">
        <v>70</v>
      </c>
      <c r="F23" s="54">
        <f t="shared" si="3"/>
        <v>1150</v>
      </c>
      <c r="G23" s="241"/>
      <c r="H23" s="226"/>
      <c r="I23" s="62">
        <f t="shared" si="0"/>
        <v>0</v>
      </c>
      <c r="J23" s="233"/>
      <c r="K23" s="246"/>
      <c r="L23" s="67">
        <f t="shared" si="4"/>
        <v>-313</v>
      </c>
    </row>
    <row r="24" spans="1:12" x14ac:dyDescent="0.3">
      <c r="A24" s="32">
        <v>46084</v>
      </c>
      <c r="B24" s="230" t="s">
        <v>414</v>
      </c>
      <c r="C24" s="244"/>
      <c r="D24" s="236"/>
      <c r="E24" s="231">
        <v>320</v>
      </c>
      <c r="F24" s="54">
        <f t="shared" si="3"/>
        <v>830</v>
      </c>
      <c r="G24" s="240"/>
      <c r="H24" s="226"/>
      <c r="I24" s="62">
        <f t="shared" si="0"/>
        <v>0</v>
      </c>
      <c r="J24" s="271"/>
      <c r="K24" s="246"/>
      <c r="L24" s="67">
        <f t="shared" si="4"/>
        <v>-313</v>
      </c>
    </row>
    <row r="25" spans="1:12" x14ac:dyDescent="0.3">
      <c r="A25" s="32">
        <v>46084</v>
      </c>
      <c r="B25" s="230" t="s">
        <v>415</v>
      </c>
      <c r="C25" s="244"/>
      <c r="D25" s="236"/>
      <c r="E25" s="231">
        <v>140</v>
      </c>
      <c r="F25" s="54">
        <f t="shared" si="3"/>
        <v>690</v>
      </c>
      <c r="G25" s="240"/>
      <c r="H25" s="226"/>
      <c r="I25" s="62">
        <f t="shared" si="0"/>
        <v>0</v>
      </c>
      <c r="J25" s="264"/>
      <c r="K25" s="246"/>
      <c r="L25" s="67">
        <f t="shared" si="4"/>
        <v>-313</v>
      </c>
    </row>
    <row r="26" spans="1:12" x14ac:dyDescent="0.3">
      <c r="A26" s="32">
        <v>46084</v>
      </c>
      <c r="B26" s="230" t="s">
        <v>416</v>
      </c>
      <c r="C26" s="244"/>
      <c r="D26" s="237"/>
      <c r="E26" s="231">
        <v>300</v>
      </c>
      <c r="F26" s="54">
        <f t="shared" si="3"/>
        <v>390</v>
      </c>
      <c r="G26" s="240"/>
      <c r="H26" s="226"/>
      <c r="I26" s="62">
        <f t="shared" si="0"/>
        <v>0</v>
      </c>
      <c r="J26" s="248"/>
      <c r="K26" s="246"/>
      <c r="L26" s="67">
        <f t="shared" si="4"/>
        <v>-313</v>
      </c>
    </row>
    <row r="27" spans="1:12" x14ac:dyDescent="0.3">
      <c r="A27" s="32">
        <v>46084</v>
      </c>
      <c r="B27" s="230" t="s">
        <v>417</v>
      </c>
      <c r="C27" s="245"/>
      <c r="D27" s="237"/>
      <c r="E27" s="231">
        <v>300</v>
      </c>
      <c r="F27" s="54">
        <f t="shared" si="3"/>
        <v>90</v>
      </c>
      <c r="G27" s="240"/>
      <c r="H27" s="226"/>
      <c r="I27" s="62">
        <f t="shared" si="0"/>
        <v>0</v>
      </c>
      <c r="J27" s="130"/>
      <c r="K27" s="246"/>
      <c r="L27" s="67">
        <f t="shared" si="4"/>
        <v>-313</v>
      </c>
    </row>
    <row r="28" spans="1:12" x14ac:dyDescent="0.3">
      <c r="A28" s="32">
        <v>46084</v>
      </c>
      <c r="B28" s="230" t="s">
        <v>418</v>
      </c>
      <c r="C28" s="244"/>
      <c r="D28" s="236"/>
      <c r="E28" s="231"/>
      <c r="F28" s="54">
        <f t="shared" si="3"/>
        <v>90</v>
      </c>
      <c r="G28" s="241"/>
      <c r="H28" s="226"/>
      <c r="I28" s="62">
        <f t="shared" si="0"/>
        <v>0</v>
      </c>
      <c r="J28" s="271"/>
      <c r="K28" s="246">
        <v>12000</v>
      </c>
      <c r="L28" s="67">
        <f t="shared" si="4"/>
        <v>-12313</v>
      </c>
    </row>
    <row r="29" spans="1:12" x14ac:dyDescent="0.3">
      <c r="A29" s="32">
        <v>46084</v>
      </c>
      <c r="B29" s="230" t="s">
        <v>419</v>
      </c>
      <c r="C29" s="244"/>
      <c r="D29" s="236"/>
      <c r="E29" s="231">
        <v>10</v>
      </c>
      <c r="F29" s="54">
        <f t="shared" si="3"/>
        <v>80</v>
      </c>
      <c r="G29" s="241"/>
      <c r="H29" s="226"/>
      <c r="I29" s="62">
        <f t="shared" si="0"/>
        <v>0</v>
      </c>
      <c r="J29" s="248"/>
      <c r="K29" s="246"/>
      <c r="L29" s="67">
        <f t="shared" si="4"/>
        <v>-12313</v>
      </c>
    </row>
    <row r="30" spans="1:12" x14ac:dyDescent="0.3">
      <c r="A30" s="32">
        <v>46084</v>
      </c>
      <c r="B30" s="222" t="s">
        <v>23</v>
      </c>
      <c r="C30" s="244"/>
      <c r="D30" s="236"/>
      <c r="E30" s="231">
        <v>50</v>
      </c>
      <c r="F30" s="54">
        <f t="shared" si="3"/>
        <v>30</v>
      </c>
      <c r="G30" s="242"/>
      <c r="H30" s="227"/>
      <c r="I30" s="62">
        <f t="shared" si="0"/>
        <v>0</v>
      </c>
      <c r="J30" s="37">
        <v>112500</v>
      </c>
      <c r="K30" s="246"/>
      <c r="L30" s="67">
        <f t="shared" si="4"/>
        <v>100187</v>
      </c>
    </row>
    <row r="31" spans="1:12" x14ac:dyDescent="0.3">
      <c r="A31" s="32">
        <v>46084</v>
      </c>
      <c r="B31" s="230" t="s">
        <v>420</v>
      </c>
      <c r="C31" s="239"/>
      <c r="D31" s="236"/>
      <c r="E31" s="231"/>
      <c r="F31" s="54">
        <f t="shared" si="3"/>
        <v>30</v>
      </c>
      <c r="G31" s="243"/>
      <c r="H31" s="227"/>
      <c r="I31" s="62">
        <f t="shared" si="0"/>
        <v>0</v>
      </c>
      <c r="J31" s="264"/>
      <c r="K31" s="246">
        <v>20000</v>
      </c>
      <c r="L31" s="67">
        <f t="shared" si="4"/>
        <v>80187</v>
      </c>
    </row>
    <row r="32" spans="1:12" x14ac:dyDescent="0.3">
      <c r="A32" s="32">
        <v>46084</v>
      </c>
      <c r="B32" s="232" t="s">
        <v>421</v>
      </c>
      <c r="C32" s="244">
        <v>1114</v>
      </c>
      <c r="D32" s="236"/>
      <c r="E32" s="231"/>
      <c r="F32" s="107">
        <f t="shared" si="3"/>
        <v>1144</v>
      </c>
      <c r="G32" s="223"/>
      <c r="H32" s="221"/>
      <c r="I32" s="62">
        <f t="shared" si="0"/>
        <v>0</v>
      </c>
      <c r="J32" s="271"/>
      <c r="K32" s="246"/>
      <c r="L32" s="67">
        <f t="shared" si="4"/>
        <v>80187</v>
      </c>
    </row>
    <row r="33" spans="1:12" x14ac:dyDescent="0.3">
      <c r="A33" s="32">
        <v>46085</v>
      </c>
      <c r="B33" s="230" t="s">
        <v>55</v>
      </c>
      <c r="C33" s="245"/>
      <c r="D33" s="236"/>
      <c r="E33" s="231"/>
      <c r="F33" s="54">
        <f>+F32+C33+D33-E33</f>
        <v>1144</v>
      </c>
      <c r="G33" s="240"/>
      <c r="H33" s="226">
        <v>0</v>
      </c>
      <c r="I33" s="62">
        <f t="shared" si="0"/>
        <v>0</v>
      </c>
      <c r="J33" s="247"/>
      <c r="K33" s="246">
        <v>10000</v>
      </c>
      <c r="L33" s="67">
        <f>+L32+J33-K33</f>
        <v>70187</v>
      </c>
    </row>
    <row r="34" spans="1:12" x14ac:dyDescent="0.3">
      <c r="A34" s="32">
        <v>46085</v>
      </c>
      <c r="B34" s="230" t="s">
        <v>422</v>
      </c>
      <c r="C34" s="245"/>
      <c r="D34" s="236"/>
      <c r="E34" s="231">
        <v>235</v>
      </c>
      <c r="F34" s="54">
        <f t="shared" ref="F34:F45" si="5">+F33+C34+D34-E34</f>
        <v>909</v>
      </c>
      <c r="G34" s="241"/>
      <c r="H34" s="226"/>
      <c r="I34" s="62">
        <f t="shared" si="0"/>
        <v>0</v>
      </c>
      <c r="J34" s="229"/>
      <c r="K34" s="246"/>
      <c r="L34" s="67">
        <f t="shared" ref="L34:L45" si="6">+L33+J34-K34</f>
        <v>70187</v>
      </c>
    </row>
    <row r="35" spans="1:12" x14ac:dyDescent="0.3">
      <c r="A35" s="32">
        <v>46085</v>
      </c>
      <c r="B35" s="230" t="s">
        <v>423</v>
      </c>
      <c r="C35" s="245"/>
      <c r="D35" s="237"/>
      <c r="E35" s="231">
        <v>74</v>
      </c>
      <c r="F35" s="54">
        <f t="shared" si="5"/>
        <v>835</v>
      </c>
      <c r="G35" s="241"/>
      <c r="H35" s="226"/>
      <c r="I35" s="62">
        <f t="shared" si="0"/>
        <v>0</v>
      </c>
      <c r="J35" s="130"/>
      <c r="K35" s="246"/>
      <c r="L35" s="67">
        <f t="shared" si="6"/>
        <v>70187</v>
      </c>
    </row>
    <row r="36" spans="1:12" x14ac:dyDescent="0.3">
      <c r="A36" s="32">
        <v>46085</v>
      </c>
      <c r="B36" s="230" t="s">
        <v>424</v>
      </c>
      <c r="C36" s="245"/>
      <c r="D36" s="237"/>
      <c r="E36" s="231">
        <v>74</v>
      </c>
      <c r="F36" s="54">
        <f t="shared" si="5"/>
        <v>761</v>
      </c>
      <c r="G36" s="241"/>
      <c r="H36" s="280"/>
      <c r="I36" s="62">
        <f t="shared" si="0"/>
        <v>0</v>
      </c>
      <c r="J36" s="37"/>
      <c r="K36" s="246"/>
      <c r="L36" s="67">
        <f t="shared" si="6"/>
        <v>70187</v>
      </c>
    </row>
    <row r="37" spans="1:12" x14ac:dyDescent="0.3">
      <c r="A37" s="32">
        <v>46085</v>
      </c>
      <c r="B37" s="230" t="s">
        <v>425</v>
      </c>
      <c r="C37" s="245"/>
      <c r="D37" s="237"/>
      <c r="E37" s="231">
        <v>392</v>
      </c>
      <c r="F37" s="54">
        <f t="shared" si="5"/>
        <v>369</v>
      </c>
      <c r="G37" s="240"/>
      <c r="H37" s="226"/>
      <c r="I37" s="62">
        <f t="shared" si="0"/>
        <v>0</v>
      </c>
      <c r="J37" s="229"/>
      <c r="K37" s="246"/>
      <c r="L37" s="67">
        <f t="shared" si="6"/>
        <v>70187</v>
      </c>
    </row>
    <row r="38" spans="1:12" x14ac:dyDescent="0.3">
      <c r="A38" s="32">
        <v>46085</v>
      </c>
      <c r="B38" s="230" t="s">
        <v>60</v>
      </c>
      <c r="C38" s="245"/>
      <c r="D38" s="237"/>
      <c r="E38" s="231">
        <v>120</v>
      </c>
      <c r="F38" s="54">
        <f t="shared" si="5"/>
        <v>249</v>
      </c>
      <c r="G38" s="240"/>
      <c r="H38" s="226"/>
      <c r="I38" s="62">
        <f t="shared" si="0"/>
        <v>0</v>
      </c>
      <c r="J38" s="264"/>
      <c r="K38" s="246"/>
      <c r="L38" s="67">
        <f t="shared" si="6"/>
        <v>70187</v>
      </c>
    </row>
    <row r="39" spans="1:12" x14ac:dyDescent="0.3">
      <c r="A39" s="32">
        <v>46085</v>
      </c>
      <c r="B39" s="230" t="s">
        <v>426</v>
      </c>
      <c r="C39" s="245"/>
      <c r="D39" s="237"/>
      <c r="E39" s="231">
        <v>70</v>
      </c>
      <c r="F39" s="54">
        <f t="shared" si="5"/>
        <v>179</v>
      </c>
      <c r="G39" s="240"/>
      <c r="H39" s="228"/>
      <c r="I39" s="62">
        <f t="shared" si="0"/>
        <v>0</v>
      </c>
      <c r="J39" s="266"/>
      <c r="K39" s="246"/>
      <c r="L39" s="67">
        <f t="shared" si="6"/>
        <v>70187</v>
      </c>
    </row>
    <row r="40" spans="1:12" x14ac:dyDescent="0.3">
      <c r="A40" s="32">
        <v>46085</v>
      </c>
      <c r="B40" s="232" t="s">
        <v>427</v>
      </c>
      <c r="C40" s="239">
        <v>9500</v>
      </c>
      <c r="D40" s="236"/>
      <c r="E40" s="231"/>
      <c r="F40" s="54">
        <f t="shared" si="5"/>
        <v>9679</v>
      </c>
      <c r="G40" s="241"/>
      <c r="H40" s="226"/>
      <c r="I40" s="62">
        <f t="shared" si="0"/>
        <v>0</v>
      </c>
      <c r="J40" s="233"/>
      <c r="K40" s="246"/>
      <c r="L40" s="67">
        <f t="shared" si="6"/>
        <v>70187</v>
      </c>
    </row>
    <row r="41" spans="1:12" x14ac:dyDescent="0.3">
      <c r="A41" s="32">
        <v>46085</v>
      </c>
      <c r="B41" s="232" t="s">
        <v>428</v>
      </c>
      <c r="C41" s="244">
        <v>464</v>
      </c>
      <c r="D41" s="236"/>
      <c r="E41" s="231"/>
      <c r="F41" s="54">
        <f t="shared" si="5"/>
        <v>10143</v>
      </c>
      <c r="G41" s="240"/>
      <c r="H41" s="226"/>
      <c r="I41" s="62">
        <f t="shared" si="0"/>
        <v>0</v>
      </c>
      <c r="J41" s="264">
        <v>2000</v>
      </c>
      <c r="K41" s="246"/>
      <c r="L41" s="67">
        <f t="shared" si="6"/>
        <v>72187</v>
      </c>
    </row>
    <row r="42" spans="1:12" x14ac:dyDescent="0.3">
      <c r="A42" s="32">
        <v>46085</v>
      </c>
      <c r="B42" s="232" t="s">
        <v>429</v>
      </c>
      <c r="C42" s="244">
        <v>445</v>
      </c>
      <c r="D42" s="236"/>
      <c r="E42" s="231"/>
      <c r="F42" s="54">
        <f t="shared" si="5"/>
        <v>10588</v>
      </c>
      <c r="G42" s="240"/>
      <c r="H42" s="226"/>
      <c r="I42" s="62">
        <f t="shared" si="0"/>
        <v>0</v>
      </c>
      <c r="J42" s="264"/>
      <c r="K42" s="246"/>
      <c r="L42" s="67">
        <f t="shared" si="6"/>
        <v>72187</v>
      </c>
    </row>
    <row r="43" spans="1:12" x14ac:dyDescent="0.3">
      <c r="A43" s="32">
        <v>46085</v>
      </c>
      <c r="B43" s="232" t="s">
        <v>430</v>
      </c>
      <c r="C43" s="244">
        <v>11000</v>
      </c>
      <c r="D43" s="237"/>
      <c r="E43" s="231"/>
      <c r="F43" s="54">
        <f t="shared" si="5"/>
        <v>21588</v>
      </c>
      <c r="G43" s="240"/>
      <c r="H43" s="226"/>
      <c r="I43" s="62">
        <f t="shared" si="0"/>
        <v>0</v>
      </c>
      <c r="J43" s="248"/>
      <c r="K43" s="246"/>
      <c r="L43" s="67">
        <f t="shared" si="6"/>
        <v>72187</v>
      </c>
    </row>
    <row r="44" spans="1:12" x14ac:dyDescent="0.3">
      <c r="A44" s="32">
        <v>46085</v>
      </c>
      <c r="B44" s="232" t="s">
        <v>431</v>
      </c>
      <c r="C44" s="245"/>
      <c r="D44" s="237"/>
      <c r="E44" s="231"/>
      <c r="F44" s="54">
        <f t="shared" si="5"/>
        <v>21588</v>
      </c>
      <c r="G44" s="240"/>
      <c r="H44" s="226"/>
      <c r="I44" s="62">
        <f t="shared" si="0"/>
        <v>0</v>
      </c>
      <c r="J44" s="130"/>
      <c r="K44" s="246"/>
      <c r="L44" s="67">
        <f t="shared" si="6"/>
        <v>72187</v>
      </c>
    </row>
    <row r="45" spans="1:12" x14ac:dyDescent="0.3">
      <c r="A45" s="32">
        <v>46085</v>
      </c>
      <c r="B45" s="222" t="s">
        <v>432</v>
      </c>
      <c r="C45" s="244"/>
      <c r="D45" s="236"/>
      <c r="E45" s="224">
        <v>11000</v>
      </c>
      <c r="F45" s="107">
        <f t="shared" si="5"/>
        <v>10588</v>
      </c>
      <c r="G45" s="241"/>
      <c r="H45" s="226"/>
      <c r="I45" s="62">
        <f t="shared" si="0"/>
        <v>0</v>
      </c>
      <c r="J45" s="271"/>
      <c r="K45" s="246"/>
      <c r="L45" s="67">
        <f t="shared" si="6"/>
        <v>72187</v>
      </c>
    </row>
    <row r="46" spans="1:12" x14ac:dyDescent="0.3">
      <c r="A46" s="32">
        <v>46086</v>
      </c>
      <c r="B46" s="230" t="s">
        <v>433</v>
      </c>
      <c r="C46" s="245"/>
      <c r="D46" s="236"/>
      <c r="E46" s="231">
        <v>40</v>
      </c>
      <c r="F46" s="54">
        <f>+F45+C46+D46-E46</f>
        <v>10548</v>
      </c>
      <c r="G46" s="240"/>
      <c r="H46" s="226">
        <v>0</v>
      </c>
      <c r="I46" s="62">
        <f t="shared" si="0"/>
        <v>0</v>
      </c>
      <c r="J46" s="247"/>
      <c r="K46" s="246"/>
      <c r="L46" s="67">
        <f>+L45+J46-K46</f>
        <v>72187</v>
      </c>
    </row>
    <row r="47" spans="1:12" x14ac:dyDescent="0.3">
      <c r="A47" s="32">
        <v>46086</v>
      </c>
      <c r="B47" s="230" t="s">
        <v>434</v>
      </c>
      <c r="C47" s="245"/>
      <c r="D47" s="236"/>
      <c r="E47" s="231">
        <v>3010</v>
      </c>
      <c r="F47" s="54">
        <f t="shared" ref="F47:F65" si="7">+F46+C47+D47-E47</f>
        <v>7538</v>
      </c>
      <c r="G47" s="241"/>
      <c r="H47" s="226"/>
      <c r="I47" s="62">
        <f t="shared" si="0"/>
        <v>0</v>
      </c>
      <c r="J47" s="229"/>
      <c r="K47" s="246"/>
      <c r="L47" s="67">
        <f t="shared" ref="L47:L65" si="8">+L46+J47-K47</f>
        <v>72187</v>
      </c>
    </row>
    <row r="48" spans="1:12" x14ac:dyDescent="0.3">
      <c r="A48" s="32">
        <v>46086</v>
      </c>
      <c r="B48" s="230" t="s">
        <v>435</v>
      </c>
      <c r="C48" s="245"/>
      <c r="D48" s="237"/>
      <c r="E48" s="231">
        <v>500</v>
      </c>
      <c r="F48" s="54">
        <f t="shared" si="7"/>
        <v>7038</v>
      </c>
      <c r="G48" s="241"/>
      <c r="H48" s="226"/>
      <c r="I48" s="62">
        <f t="shared" si="0"/>
        <v>0</v>
      </c>
      <c r="J48" s="130"/>
      <c r="K48" s="246"/>
      <c r="L48" s="67">
        <f t="shared" si="8"/>
        <v>72187</v>
      </c>
    </row>
    <row r="49" spans="1:12" x14ac:dyDescent="0.3">
      <c r="A49" s="32">
        <v>46086</v>
      </c>
      <c r="B49" s="230" t="s">
        <v>436</v>
      </c>
      <c r="C49" s="245"/>
      <c r="D49" s="237"/>
      <c r="E49" s="231">
        <v>1000</v>
      </c>
      <c r="F49" s="54">
        <f t="shared" si="7"/>
        <v>6038</v>
      </c>
      <c r="G49" s="241"/>
      <c r="H49" s="280"/>
      <c r="I49" s="62">
        <f t="shared" si="0"/>
        <v>0</v>
      </c>
      <c r="J49" s="37"/>
      <c r="K49" s="246"/>
      <c r="L49" s="67">
        <f t="shared" si="8"/>
        <v>72187</v>
      </c>
    </row>
    <row r="50" spans="1:12" x14ac:dyDescent="0.3">
      <c r="A50" s="32">
        <v>46086</v>
      </c>
      <c r="B50" s="230" t="s">
        <v>437</v>
      </c>
      <c r="C50" s="245"/>
      <c r="D50" s="237"/>
      <c r="E50" s="231">
        <v>579</v>
      </c>
      <c r="F50" s="54">
        <f t="shared" si="7"/>
        <v>5459</v>
      </c>
      <c r="G50" s="240"/>
      <c r="H50" s="226"/>
      <c r="I50" s="62">
        <f t="shared" si="0"/>
        <v>0</v>
      </c>
      <c r="J50" s="229"/>
      <c r="K50" s="246"/>
      <c r="L50" s="67">
        <f t="shared" si="8"/>
        <v>72187</v>
      </c>
    </row>
    <row r="51" spans="1:12" x14ac:dyDescent="0.3">
      <c r="A51" s="32">
        <v>46086</v>
      </c>
      <c r="B51" s="230" t="s">
        <v>438</v>
      </c>
      <c r="C51" s="245"/>
      <c r="D51" s="237"/>
      <c r="E51" s="231">
        <v>530</v>
      </c>
      <c r="F51" s="54">
        <f t="shared" si="7"/>
        <v>4929</v>
      </c>
      <c r="G51" s="240"/>
      <c r="H51" s="226"/>
      <c r="I51" s="62">
        <f t="shared" si="0"/>
        <v>0</v>
      </c>
      <c r="J51" s="264"/>
      <c r="K51" s="246"/>
      <c r="L51" s="67">
        <f t="shared" si="8"/>
        <v>72187</v>
      </c>
    </row>
    <row r="52" spans="1:12" x14ac:dyDescent="0.3">
      <c r="A52" s="32">
        <v>46086</v>
      </c>
      <c r="B52" s="230" t="s">
        <v>439</v>
      </c>
      <c r="C52" s="245"/>
      <c r="D52" s="237"/>
      <c r="E52" s="231">
        <v>100</v>
      </c>
      <c r="F52" s="54">
        <f t="shared" si="7"/>
        <v>4829</v>
      </c>
      <c r="G52" s="240"/>
      <c r="H52" s="228"/>
      <c r="I52" s="62">
        <f t="shared" si="0"/>
        <v>0</v>
      </c>
      <c r="J52" s="266"/>
      <c r="K52" s="246"/>
      <c r="L52" s="67">
        <f t="shared" si="8"/>
        <v>72187</v>
      </c>
    </row>
    <row r="53" spans="1:12" x14ac:dyDescent="0.3">
      <c r="A53" s="32">
        <v>46086</v>
      </c>
      <c r="B53" s="222" t="s">
        <v>51</v>
      </c>
      <c r="C53" s="239"/>
      <c r="D53" s="236"/>
      <c r="E53" s="231">
        <v>200</v>
      </c>
      <c r="F53" s="54">
        <f t="shared" si="7"/>
        <v>4629</v>
      </c>
      <c r="G53" s="241"/>
      <c r="H53" s="226"/>
      <c r="I53" s="62">
        <f t="shared" si="0"/>
        <v>0</v>
      </c>
      <c r="J53" s="233">
        <v>450000</v>
      </c>
      <c r="K53" s="246"/>
      <c r="L53" s="67">
        <f t="shared" si="8"/>
        <v>522187</v>
      </c>
    </row>
    <row r="54" spans="1:12" x14ac:dyDescent="0.3">
      <c r="A54" s="32">
        <v>46086</v>
      </c>
      <c r="B54" s="230" t="s">
        <v>440</v>
      </c>
      <c r="C54" s="244"/>
      <c r="D54" s="236"/>
      <c r="E54" s="231"/>
      <c r="F54" s="54">
        <f t="shared" si="7"/>
        <v>4629</v>
      </c>
      <c r="G54" s="240"/>
      <c r="H54" s="226"/>
      <c r="I54" s="62">
        <f t="shared" si="0"/>
        <v>0</v>
      </c>
      <c r="J54" s="264"/>
      <c r="K54" s="246">
        <v>108000</v>
      </c>
      <c r="L54" s="67">
        <f t="shared" si="8"/>
        <v>414187</v>
      </c>
    </row>
    <row r="55" spans="1:12" x14ac:dyDescent="0.3">
      <c r="A55" s="32">
        <v>46086</v>
      </c>
      <c r="B55" s="230" t="s">
        <v>441</v>
      </c>
      <c r="C55" s="244"/>
      <c r="D55" s="236"/>
      <c r="E55" s="231"/>
      <c r="F55" s="54">
        <f t="shared" si="7"/>
        <v>4629</v>
      </c>
      <c r="G55" s="240"/>
      <c r="H55" s="226"/>
      <c r="I55" s="62">
        <f t="shared" si="0"/>
        <v>0</v>
      </c>
      <c r="J55" s="264"/>
      <c r="K55" s="246">
        <v>135000</v>
      </c>
      <c r="L55" s="67">
        <f t="shared" si="8"/>
        <v>279187</v>
      </c>
    </row>
    <row r="56" spans="1:12" x14ac:dyDescent="0.3">
      <c r="A56" s="32">
        <v>46086</v>
      </c>
      <c r="B56" s="230" t="s">
        <v>442</v>
      </c>
      <c r="C56" s="244"/>
      <c r="D56" s="237"/>
      <c r="E56" s="231"/>
      <c r="F56" s="54">
        <f t="shared" si="7"/>
        <v>4629</v>
      </c>
      <c r="G56" s="240"/>
      <c r="H56" s="226"/>
      <c r="I56" s="62">
        <f t="shared" si="0"/>
        <v>0</v>
      </c>
      <c r="J56" s="248"/>
      <c r="K56" s="246">
        <v>75000</v>
      </c>
      <c r="L56" s="67">
        <f t="shared" si="8"/>
        <v>204187</v>
      </c>
    </row>
    <row r="57" spans="1:12" x14ac:dyDescent="0.3">
      <c r="A57" s="32">
        <v>46086</v>
      </c>
      <c r="B57" s="230" t="s">
        <v>443</v>
      </c>
      <c r="C57" s="245"/>
      <c r="D57" s="237"/>
      <c r="E57" s="231"/>
      <c r="F57" s="54">
        <f t="shared" si="7"/>
        <v>4629</v>
      </c>
      <c r="G57" s="240"/>
      <c r="H57" s="226"/>
      <c r="I57" s="62">
        <f t="shared" si="0"/>
        <v>0</v>
      </c>
      <c r="J57" s="130"/>
      <c r="K57" s="246">
        <v>50000</v>
      </c>
      <c r="L57" s="67">
        <f t="shared" si="8"/>
        <v>154187</v>
      </c>
    </row>
    <row r="58" spans="1:12" x14ac:dyDescent="0.3">
      <c r="A58" s="32">
        <v>46086</v>
      </c>
      <c r="B58" s="230" t="s">
        <v>444</v>
      </c>
      <c r="C58" s="244"/>
      <c r="D58" s="236"/>
      <c r="E58" s="231">
        <v>100</v>
      </c>
      <c r="F58" s="54">
        <f t="shared" si="7"/>
        <v>4529</v>
      </c>
      <c r="G58" s="241"/>
      <c r="H58" s="226"/>
      <c r="I58" s="62">
        <f t="shared" si="0"/>
        <v>0</v>
      </c>
      <c r="J58" s="271"/>
      <c r="K58" s="246"/>
      <c r="L58" s="67">
        <f t="shared" si="8"/>
        <v>154187</v>
      </c>
    </row>
    <row r="59" spans="1:12" x14ac:dyDescent="0.3">
      <c r="A59" s="32">
        <v>46086</v>
      </c>
      <c r="B59" s="230" t="s">
        <v>445</v>
      </c>
      <c r="C59" s="244"/>
      <c r="D59" s="236"/>
      <c r="E59" s="231">
        <v>250</v>
      </c>
      <c r="F59" s="54">
        <f t="shared" si="7"/>
        <v>4279</v>
      </c>
      <c r="G59" s="241"/>
      <c r="H59" s="226"/>
      <c r="I59" s="62">
        <f t="shared" si="0"/>
        <v>0</v>
      </c>
      <c r="J59" s="248"/>
      <c r="K59" s="246"/>
      <c r="L59" s="67">
        <f t="shared" si="8"/>
        <v>154187</v>
      </c>
    </row>
    <row r="60" spans="1:12" x14ac:dyDescent="0.3">
      <c r="A60" s="32">
        <v>46086</v>
      </c>
      <c r="B60" s="234" t="s">
        <v>446</v>
      </c>
      <c r="C60" s="244"/>
      <c r="D60" s="236"/>
      <c r="E60" s="39">
        <v>2250</v>
      </c>
      <c r="F60" s="54">
        <f t="shared" si="7"/>
        <v>2029</v>
      </c>
      <c r="G60" s="242"/>
      <c r="H60" s="227"/>
      <c r="I60" s="62">
        <f t="shared" si="0"/>
        <v>0</v>
      </c>
      <c r="J60" s="37"/>
      <c r="K60" s="246"/>
      <c r="L60" s="67">
        <f t="shared" si="8"/>
        <v>154187</v>
      </c>
    </row>
    <row r="61" spans="1:12" x14ac:dyDescent="0.3">
      <c r="A61" s="32">
        <v>46086</v>
      </c>
      <c r="B61" s="232" t="s">
        <v>447</v>
      </c>
      <c r="C61" s="239">
        <v>210</v>
      </c>
      <c r="D61" s="236"/>
      <c r="E61" s="231"/>
      <c r="F61" s="54">
        <f t="shared" si="7"/>
        <v>2239</v>
      </c>
      <c r="G61" s="243"/>
      <c r="H61" s="227"/>
      <c r="I61" s="62">
        <f t="shared" si="0"/>
        <v>0</v>
      </c>
      <c r="J61" s="264"/>
      <c r="K61" s="246"/>
      <c r="L61" s="67">
        <f t="shared" si="8"/>
        <v>154187</v>
      </c>
    </row>
    <row r="62" spans="1:12" x14ac:dyDescent="0.3">
      <c r="A62" s="32">
        <v>46086</v>
      </c>
      <c r="B62" s="232" t="s">
        <v>448</v>
      </c>
      <c r="C62" s="244">
        <v>551</v>
      </c>
      <c r="D62" s="236"/>
      <c r="E62" s="231"/>
      <c r="F62" s="54">
        <f t="shared" si="7"/>
        <v>2790</v>
      </c>
      <c r="G62" s="223"/>
      <c r="H62" s="221"/>
      <c r="I62" s="62">
        <f t="shared" si="0"/>
        <v>0</v>
      </c>
      <c r="J62" s="264">
        <v>500</v>
      </c>
      <c r="K62" s="246"/>
      <c r="L62" s="67">
        <f t="shared" si="8"/>
        <v>154687</v>
      </c>
    </row>
    <row r="63" spans="1:12" x14ac:dyDescent="0.3">
      <c r="A63" s="32">
        <v>46086</v>
      </c>
      <c r="B63" s="232" t="s">
        <v>449</v>
      </c>
      <c r="C63" s="244">
        <v>240</v>
      </c>
      <c r="D63" s="236"/>
      <c r="E63" s="231"/>
      <c r="F63" s="54">
        <f t="shared" si="7"/>
        <v>3030</v>
      </c>
      <c r="G63" s="223"/>
      <c r="H63" s="227"/>
      <c r="I63" s="62">
        <f t="shared" si="0"/>
        <v>0</v>
      </c>
      <c r="J63" s="264">
        <v>8100</v>
      </c>
      <c r="K63" s="246"/>
      <c r="L63" s="67">
        <f t="shared" si="8"/>
        <v>162787</v>
      </c>
    </row>
    <row r="64" spans="1:12" x14ac:dyDescent="0.3">
      <c r="A64" s="32">
        <v>46086</v>
      </c>
      <c r="B64" s="232" t="s">
        <v>450</v>
      </c>
      <c r="C64" s="239">
        <v>146</v>
      </c>
      <c r="D64" s="236"/>
      <c r="E64" s="231"/>
      <c r="F64" s="54">
        <f t="shared" si="7"/>
        <v>3176</v>
      </c>
      <c r="G64" s="223"/>
      <c r="H64" s="227"/>
      <c r="I64" s="62">
        <f t="shared" si="0"/>
        <v>0</v>
      </c>
      <c r="J64" s="229"/>
      <c r="K64" s="246"/>
      <c r="L64" s="67">
        <f t="shared" si="8"/>
        <v>162787</v>
      </c>
    </row>
    <row r="65" spans="1:12" x14ac:dyDescent="0.3">
      <c r="A65" s="32">
        <v>46086</v>
      </c>
      <c r="B65" s="230" t="s">
        <v>451</v>
      </c>
      <c r="C65" s="244"/>
      <c r="D65" s="236"/>
      <c r="E65" s="231">
        <v>140</v>
      </c>
      <c r="F65" s="107">
        <f t="shared" si="7"/>
        <v>3036</v>
      </c>
      <c r="G65" s="223"/>
      <c r="H65" s="227"/>
      <c r="I65" s="62">
        <f t="shared" si="0"/>
        <v>0</v>
      </c>
      <c r="J65" s="65"/>
      <c r="K65" s="246"/>
      <c r="L65" s="67">
        <f t="shared" si="8"/>
        <v>162787</v>
      </c>
    </row>
    <row r="66" spans="1:12" x14ac:dyDescent="0.3">
      <c r="A66" s="32">
        <v>46087</v>
      </c>
      <c r="B66" s="230" t="s">
        <v>452</v>
      </c>
      <c r="C66" s="245"/>
      <c r="D66" s="236"/>
      <c r="E66" s="231">
        <v>10</v>
      </c>
      <c r="F66" s="54">
        <f>+F65+C66+D66-E66</f>
        <v>3026</v>
      </c>
      <c r="G66" s="240"/>
      <c r="H66" s="226">
        <v>0</v>
      </c>
      <c r="I66" s="62">
        <f t="shared" si="0"/>
        <v>0</v>
      </c>
      <c r="J66" s="247"/>
      <c r="K66" s="246"/>
      <c r="L66" s="67">
        <f>+L65+J66-K66</f>
        <v>162787</v>
      </c>
    </row>
    <row r="67" spans="1:12" x14ac:dyDescent="0.3">
      <c r="A67" s="32">
        <v>46087</v>
      </c>
      <c r="B67" s="230" t="s">
        <v>29</v>
      </c>
      <c r="C67" s="245"/>
      <c r="D67" s="236"/>
      <c r="E67" s="231">
        <v>129</v>
      </c>
      <c r="F67" s="54">
        <f t="shared" ref="F67:F82" si="9">+F66+C67+D67-E67</f>
        <v>2897</v>
      </c>
      <c r="G67" s="241"/>
      <c r="H67" s="226"/>
      <c r="I67" s="62">
        <f t="shared" si="0"/>
        <v>0</v>
      </c>
      <c r="J67" s="229"/>
      <c r="K67" s="246"/>
      <c r="L67" s="67">
        <f t="shared" ref="L67:L82" si="10">+L66+J67-K67</f>
        <v>162787</v>
      </c>
    </row>
    <row r="68" spans="1:12" x14ac:dyDescent="0.3">
      <c r="A68" s="32">
        <v>46087</v>
      </c>
      <c r="B68" s="232" t="s">
        <v>92</v>
      </c>
      <c r="C68" s="245"/>
      <c r="D68" s="237"/>
      <c r="E68" s="231">
        <v>2000</v>
      </c>
      <c r="F68" s="54">
        <f t="shared" si="9"/>
        <v>897</v>
      </c>
      <c r="G68" s="241"/>
      <c r="H68" s="226"/>
      <c r="I68" s="62">
        <f t="shared" si="0"/>
        <v>0</v>
      </c>
      <c r="J68" s="130"/>
      <c r="K68" s="246"/>
      <c r="L68" s="67">
        <f t="shared" si="10"/>
        <v>162787</v>
      </c>
    </row>
    <row r="69" spans="1:12" x14ac:dyDescent="0.3">
      <c r="A69" s="32">
        <v>46087</v>
      </c>
      <c r="B69" s="230" t="s">
        <v>87</v>
      </c>
      <c r="C69" s="245"/>
      <c r="D69" s="237"/>
      <c r="E69" s="231">
        <v>667</v>
      </c>
      <c r="F69" s="54">
        <f t="shared" si="9"/>
        <v>230</v>
      </c>
      <c r="G69" s="241"/>
      <c r="H69" s="280"/>
      <c r="I69" s="62">
        <f t="shared" si="0"/>
        <v>0</v>
      </c>
      <c r="J69" s="37"/>
      <c r="K69" s="246"/>
      <c r="L69" s="67">
        <f t="shared" si="10"/>
        <v>162787</v>
      </c>
    </row>
    <row r="70" spans="1:12" x14ac:dyDescent="0.3">
      <c r="A70" s="32">
        <v>46087</v>
      </c>
      <c r="B70" s="222" t="s">
        <v>23</v>
      </c>
      <c r="C70" s="245"/>
      <c r="D70" s="237"/>
      <c r="E70" s="231">
        <v>200</v>
      </c>
      <c r="F70" s="54">
        <f t="shared" si="9"/>
        <v>30</v>
      </c>
      <c r="G70" s="240"/>
      <c r="H70" s="226"/>
      <c r="I70" s="62">
        <f t="shared" ref="I70:I133" si="11">+I69+G70-H70</f>
        <v>0</v>
      </c>
      <c r="J70" s="229">
        <v>450000</v>
      </c>
      <c r="K70" s="246"/>
      <c r="L70" s="67">
        <f t="shared" si="10"/>
        <v>612787</v>
      </c>
    </row>
    <row r="71" spans="1:12" x14ac:dyDescent="0.3">
      <c r="A71" s="32">
        <v>46087</v>
      </c>
      <c r="B71" s="230" t="s">
        <v>453</v>
      </c>
      <c r="C71" s="245"/>
      <c r="D71" s="237"/>
      <c r="E71" s="231"/>
      <c r="F71" s="54">
        <f t="shared" si="9"/>
        <v>30</v>
      </c>
      <c r="G71" s="240"/>
      <c r="H71" s="226"/>
      <c r="I71" s="62">
        <f t="shared" si="11"/>
        <v>0</v>
      </c>
      <c r="J71" s="264"/>
      <c r="K71" s="246">
        <v>380500</v>
      </c>
      <c r="L71" s="67">
        <f t="shared" si="10"/>
        <v>232287</v>
      </c>
    </row>
    <row r="72" spans="1:12" x14ac:dyDescent="0.3">
      <c r="A72" s="32">
        <v>46087</v>
      </c>
      <c r="B72" s="234" t="s">
        <v>33</v>
      </c>
      <c r="C72" s="245"/>
      <c r="D72" s="236">
        <v>5000</v>
      </c>
      <c r="E72" s="231"/>
      <c r="F72" s="54">
        <f t="shared" si="9"/>
        <v>5030</v>
      </c>
      <c r="G72" s="240"/>
      <c r="H72" s="228"/>
      <c r="I72" s="62">
        <f t="shared" si="11"/>
        <v>0</v>
      </c>
      <c r="J72" s="266"/>
      <c r="K72" s="246"/>
      <c r="L72" s="67">
        <f t="shared" si="10"/>
        <v>232287</v>
      </c>
    </row>
    <row r="73" spans="1:12" x14ac:dyDescent="0.3">
      <c r="A73" s="32">
        <v>46087</v>
      </c>
      <c r="B73" s="222" t="s">
        <v>454</v>
      </c>
      <c r="C73" s="239"/>
      <c r="D73" s="236"/>
      <c r="E73" s="224">
        <v>5000</v>
      </c>
      <c r="F73" s="54">
        <f t="shared" si="9"/>
        <v>30</v>
      </c>
      <c r="G73" s="241"/>
      <c r="H73" s="226"/>
      <c r="I73" s="62">
        <f t="shared" si="11"/>
        <v>0</v>
      </c>
      <c r="J73" s="233"/>
      <c r="K73" s="246"/>
      <c r="L73" s="67">
        <f t="shared" si="10"/>
        <v>232287</v>
      </c>
    </row>
    <row r="74" spans="1:12" x14ac:dyDescent="0.3">
      <c r="A74" s="32">
        <v>46087</v>
      </c>
      <c r="B74" s="230" t="s">
        <v>30</v>
      </c>
      <c r="C74" s="244"/>
      <c r="D74" s="236"/>
      <c r="E74" s="231">
        <v>50</v>
      </c>
      <c r="F74" s="54">
        <f t="shared" si="9"/>
        <v>-20</v>
      </c>
      <c r="G74" s="240"/>
      <c r="H74" s="226"/>
      <c r="I74" s="62">
        <f t="shared" si="11"/>
        <v>0</v>
      </c>
      <c r="J74" s="264"/>
      <c r="K74" s="246"/>
      <c r="L74" s="67">
        <f t="shared" si="10"/>
        <v>232287</v>
      </c>
    </row>
    <row r="75" spans="1:12" x14ac:dyDescent="0.3">
      <c r="A75" s="32">
        <v>46087</v>
      </c>
      <c r="B75" s="230" t="s">
        <v>52</v>
      </c>
      <c r="C75" s="244"/>
      <c r="D75" s="236"/>
      <c r="E75" s="231"/>
      <c r="F75" s="54">
        <f t="shared" si="9"/>
        <v>-20</v>
      </c>
      <c r="G75" s="240"/>
      <c r="H75" s="226"/>
      <c r="I75" s="62">
        <f t="shared" si="11"/>
        <v>0</v>
      </c>
      <c r="J75" s="264"/>
      <c r="K75" s="246">
        <v>10000</v>
      </c>
      <c r="L75" s="67">
        <f t="shared" si="10"/>
        <v>222287</v>
      </c>
    </row>
    <row r="76" spans="1:12" x14ac:dyDescent="0.3">
      <c r="A76" s="32">
        <v>46087</v>
      </c>
      <c r="B76" s="232" t="s">
        <v>455</v>
      </c>
      <c r="C76" s="244">
        <v>450</v>
      </c>
      <c r="D76" s="237"/>
      <c r="E76" s="231"/>
      <c r="F76" s="54">
        <f t="shared" si="9"/>
        <v>430</v>
      </c>
      <c r="G76" s="240"/>
      <c r="H76" s="226"/>
      <c r="I76" s="62">
        <f t="shared" si="11"/>
        <v>0</v>
      </c>
      <c r="J76" s="248"/>
      <c r="K76" s="246"/>
      <c r="L76" s="67">
        <f t="shared" si="10"/>
        <v>222287</v>
      </c>
    </row>
    <row r="77" spans="1:12" x14ac:dyDescent="0.3">
      <c r="A77" s="32">
        <v>46087</v>
      </c>
      <c r="B77" s="232" t="s">
        <v>456</v>
      </c>
      <c r="C77" s="244">
        <v>420</v>
      </c>
      <c r="D77" s="237"/>
      <c r="E77" s="231"/>
      <c r="F77" s="54">
        <f t="shared" si="9"/>
        <v>850</v>
      </c>
      <c r="G77" s="240"/>
      <c r="H77" s="226"/>
      <c r="I77" s="62">
        <f t="shared" si="11"/>
        <v>0</v>
      </c>
      <c r="J77" s="130"/>
      <c r="K77" s="246"/>
      <c r="L77" s="67">
        <f t="shared" si="10"/>
        <v>222287</v>
      </c>
    </row>
    <row r="78" spans="1:12" x14ac:dyDescent="0.3">
      <c r="A78" s="32">
        <v>46087</v>
      </c>
      <c r="B78" s="232" t="s">
        <v>457</v>
      </c>
      <c r="C78" s="244">
        <v>180</v>
      </c>
      <c r="D78" s="236"/>
      <c r="E78" s="231"/>
      <c r="F78" s="54">
        <f t="shared" si="9"/>
        <v>1030</v>
      </c>
      <c r="G78" s="241"/>
      <c r="H78" s="226"/>
      <c r="I78" s="62">
        <f t="shared" si="11"/>
        <v>0</v>
      </c>
      <c r="J78" s="264">
        <v>7000</v>
      </c>
      <c r="K78" s="246"/>
      <c r="L78" s="67">
        <f t="shared" si="10"/>
        <v>229287</v>
      </c>
    </row>
    <row r="79" spans="1:12" x14ac:dyDescent="0.3">
      <c r="A79" s="32">
        <v>46087</v>
      </c>
      <c r="B79" s="232" t="s">
        <v>458</v>
      </c>
      <c r="C79" s="244">
        <v>400</v>
      </c>
      <c r="D79" s="236"/>
      <c r="E79" s="231"/>
      <c r="F79" s="54">
        <f t="shared" si="9"/>
        <v>1430</v>
      </c>
      <c r="G79" s="241"/>
      <c r="H79" s="226"/>
      <c r="I79" s="62">
        <f t="shared" si="11"/>
        <v>0</v>
      </c>
      <c r="J79" s="248"/>
      <c r="K79" s="246"/>
      <c r="L79" s="67">
        <f t="shared" si="10"/>
        <v>229287</v>
      </c>
    </row>
    <row r="80" spans="1:12" x14ac:dyDescent="0.3">
      <c r="A80" s="32">
        <v>46087</v>
      </c>
      <c r="B80" s="230" t="s">
        <v>459</v>
      </c>
      <c r="C80" s="244"/>
      <c r="D80" s="236"/>
      <c r="E80" s="39"/>
      <c r="F80" s="54">
        <f t="shared" si="9"/>
        <v>1430</v>
      </c>
      <c r="G80" s="242"/>
      <c r="H80" s="227"/>
      <c r="I80" s="62">
        <f t="shared" si="11"/>
        <v>0</v>
      </c>
      <c r="J80" s="37"/>
      <c r="K80" s="246">
        <v>75000</v>
      </c>
      <c r="L80" s="67">
        <f t="shared" si="10"/>
        <v>154287</v>
      </c>
    </row>
    <row r="81" spans="1:12" x14ac:dyDescent="0.3">
      <c r="A81" s="32">
        <v>46087</v>
      </c>
      <c r="B81" s="222" t="s">
        <v>460</v>
      </c>
      <c r="C81" s="239"/>
      <c r="D81" s="237">
        <v>55</v>
      </c>
      <c r="E81" s="231"/>
      <c r="F81" s="54">
        <f t="shared" si="9"/>
        <v>1485</v>
      </c>
      <c r="G81" s="243"/>
      <c r="H81" s="227"/>
      <c r="I81" s="62">
        <f t="shared" si="11"/>
        <v>0</v>
      </c>
      <c r="J81" s="264"/>
      <c r="K81" s="246"/>
      <c r="L81" s="67">
        <f t="shared" si="10"/>
        <v>154287</v>
      </c>
    </row>
    <row r="82" spans="1:12" x14ac:dyDescent="0.3">
      <c r="A82" s="32">
        <v>46087</v>
      </c>
      <c r="B82" s="230" t="s">
        <v>461</v>
      </c>
      <c r="C82" s="244"/>
      <c r="D82" s="236"/>
      <c r="E82" s="231"/>
      <c r="F82" s="107">
        <f t="shared" si="9"/>
        <v>1485</v>
      </c>
      <c r="G82" s="223"/>
      <c r="H82" s="221"/>
      <c r="I82" s="62">
        <f t="shared" si="11"/>
        <v>0</v>
      </c>
      <c r="J82" s="264"/>
      <c r="K82" s="246">
        <v>140000</v>
      </c>
      <c r="L82" s="67">
        <f t="shared" si="10"/>
        <v>14287</v>
      </c>
    </row>
    <row r="83" spans="1:12" x14ac:dyDescent="0.3">
      <c r="A83" s="32">
        <v>46090</v>
      </c>
      <c r="B83" s="230" t="s">
        <v>70</v>
      </c>
      <c r="C83" s="245"/>
      <c r="D83" s="236"/>
      <c r="E83" s="231">
        <v>50</v>
      </c>
      <c r="F83" s="54">
        <f>+F82+C83+D83-E83</f>
        <v>1435</v>
      </c>
      <c r="G83" s="240"/>
      <c r="H83" s="226">
        <v>0</v>
      </c>
      <c r="I83" s="62">
        <f t="shared" si="11"/>
        <v>0</v>
      </c>
      <c r="J83" s="247"/>
      <c r="K83" s="246"/>
      <c r="L83" s="67">
        <f>+L82+J83-K83</f>
        <v>14287</v>
      </c>
    </row>
    <row r="84" spans="1:12" x14ac:dyDescent="0.3">
      <c r="A84" s="32">
        <v>46090</v>
      </c>
      <c r="B84" s="230" t="s">
        <v>36</v>
      </c>
      <c r="C84" s="245"/>
      <c r="D84" s="236"/>
      <c r="E84" s="231">
        <v>50</v>
      </c>
      <c r="F84" s="54">
        <f t="shared" ref="F84:F99" si="12">+F83+C84+D84-E84</f>
        <v>1385</v>
      </c>
      <c r="G84" s="241"/>
      <c r="H84" s="226"/>
      <c r="I84" s="62">
        <f t="shared" si="11"/>
        <v>0</v>
      </c>
      <c r="J84" s="229"/>
      <c r="K84" s="246"/>
      <c r="L84" s="67">
        <f t="shared" ref="L84:L99" si="13">+L83+J84-K84</f>
        <v>14287</v>
      </c>
    </row>
    <row r="85" spans="1:12" x14ac:dyDescent="0.3">
      <c r="A85" s="32">
        <v>46090</v>
      </c>
      <c r="B85" s="230" t="s">
        <v>28</v>
      </c>
      <c r="C85" s="245"/>
      <c r="D85" s="237"/>
      <c r="E85" s="231">
        <v>50</v>
      </c>
      <c r="F85" s="54">
        <f t="shared" si="12"/>
        <v>1335</v>
      </c>
      <c r="G85" s="241"/>
      <c r="H85" s="226"/>
      <c r="I85" s="62">
        <f t="shared" si="11"/>
        <v>0</v>
      </c>
      <c r="J85" s="130"/>
      <c r="K85" s="246"/>
      <c r="L85" s="67">
        <f t="shared" si="13"/>
        <v>14287</v>
      </c>
    </row>
    <row r="86" spans="1:12" x14ac:dyDescent="0.3">
      <c r="A86" s="32">
        <v>46090</v>
      </c>
      <c r="B86" s="230" t="s">
        <v>214</v>
      </c>
      <c r="C86" s="245"/>
      <c r="D86" s="237"/>
      <c r="E86" s="231">
        <v>70</v>
      </c>
      <c r="F86" s="54">
        <f t="shared" si="12"/>
        <v>1265</v>
      </c>
      <c r="G86" s="241"/>
      <c r="H86" s="280"/>
      <c r="I86" s="62">
        <f t="shared" si="11"/>
        <v>0</v>
      </c>
      <c r="J86" s="37"/>
      <c r="K86" s="246"/>
      <c r="L86" s="67">
        <f t="shared" si="13"/>
        <v>14287</v>
      </c>
    </row>
    <row r="87" spans="1:12" x14ac:dyDescent="0.3">
      <c r="A87" s="32">
        <v>46090</v>
      </c>
      <c r="B87" s="230" t="s">
        <v>48</v>
      </c>
      <c r="C87" s="245"/>
      <c r="D87" s="237"/>
      <c r="E87" s="231">
        <v>70</v>
      </c>
      <c r="F87" s="54">
        <f t="shared" si="12"/>
        <v>1195</v>
      </c>
      <c r="G87" s="240"/>
      <c r="H87" s="226"/>
      <c r="I87" s="62">
        <f t="shared" si="11"/>
        <v>0</v>
      </c>
      <c r="J87" s="229"/>
      <c r="K87" s="246"/>
      <c r="L87" s="67">
        <f t="shared" si="13"/>
        <v>14287</v>
      </c>
    </row>
    <row r="88" spans="1:12" x14ac:dyDescent="0.3">
      <c r="A88" s="32">
        <v>46090</v>
      </c>
      <c r="B88" s="230" t="s">
        <v>20</v>
      </c>
      <c r="C88" s="245"/>
      <c r="D88" s="237"/>
      <c r="E88" s="231">
        <v>50</v>
      </c>
      <c r="F88" s="54">
        <f t="shared" si="12"/>
        <v>1145</v>
      </c>
      <c r="G88" s="240"/>
      <c r="H88" s="226"/>
      <c r="I88" s="62">
        <f t="shared" si="11"/>
        <v>0</v>
      </c>
      <c r="J88" s="264"/>
      <c r="K88" s="246"/>
      <c r="L88" s="67">
        <f t="shared" si="13"/>
        <v>14287</v>
      </c>
    </row>
    <row r="89" spans="1:12" x14ac:dyDescent="0.3">
      <c r="A89" s="32">
        <v>46090</v>
      </c>
      <c r="B89" s="230" t="s">
        <v>17</v>
      </c>
      <c r="C89" s="245"/>
      <c r="D89" s="236"/>
      <c r="E89" s="231">
        <v>60</v>
      </c>
      <c r="F89" s="54">
        <f t="shared" si="12"/>
        <v>1085</v>
      </c>
      <c r="G89" s="240"/>
      <c r="H89" s="228"/>
      <c r="I89" s="62">
        <f t="shared" si="11"/>
        <v>0</v>
      </c>
      <c r="J89" s="266"/>
      <c r="K89" s="246"/>
      <c r="L89" s="67">
        <f t="shared" si="13"/>
        <v>14287</v>
      </c>
    </row>
    <row r="90" spans="1:12" x14ac:dyDescent="0.3">
      <c r="A90" s="32">
        <v>46090</v>
      </c>
      <c r="B90" s="222" t="s">
        <v>76</v>
      </c>
      <c r="C90" s="239"/>
      <c r="D90" s="236"/>
      <c r="E90" s="224">
        <v>20</v>
      </c>
      <c r="F90" s="54">
        <f t="shared" si="12"/>
        <v>1065</v>
      </c>
      <c r="G90" s="241"/>
      <c r="H90" s="226"/>
      <c r="I90" s="62">
        <f t="shared" si="11"/>
        <v>0</v>
      </c>
      <c r="J90" s="233"/>
      <c r="K90" s="246"/>
      <c r="L90" s="67">
        <f t="shared" si="13"/>
        <v>14287</v>
      </c>
    </row>
    <row r="91" spans="1:12" x14ac:dyDescent="0.3">
      <c r="A91" s="32">
        <v>46090</v>
      </c>
      <c r="B91" s="230" t="s">
        <v>462</v>
      </c>
      <c r="C91" s="244"/>
      <c r="D91" s="236"/>
      <c r="E91" s="231">
        <v>120</v>
      </c>
      <c r="F91" s="54">
        <f t="shared" si="12"/>
        <v>945</v>
      </c>
      <c r="G91" s="240"/>
      <c r="H91" s="226"/>
      <c r="I91" s="62">
        <f t="shared" si="11"/>
        <v>0</v>
      </c>
      <c r="J91" s="264"/>
      <c r="K91" s="246"/>
      <c r="L91" s="67">
        <f t="shared" si="13"/>
        <v>14287</v>
      </c>
    </row>
    <row r="92" spans="1:12" x14ac:dyDescent="0.3">
      <c r="A92" s="32">
        <v>46090</v>
      </c>
      <c r="B92" s="230" t="s">
        <v>463</v>
      </c>
      <c r="C92" s="244"/>
      <c r="D92" s="236"/>
      <c r="E92" s="231">
        <v>268</v>
      </c>
      <c r="F92" s="54">
        <f t="shared" si="12"/>
        <v>677</v>
      </c>
      <c r="G92" s="240"/>
      <c r="H92" s="226"/>
      <c r="I92" s="62">
        <f t="shared" si="11"/>
        <v>0</v>
      </c>
      <c r="J92" s="264"/>
      <c r="K92" s="246"/>
      <c r="L92" s="67">
        <f t="shared" si="13"/>
        <v>14287</v>
      </c>
    </row>
    <row r="93" spans="1:12" x14ac:dyDescent="0.3">
      <c r="A93" s="32">
        <v>46090</v>
      </c>
      <c r="B93" s="232" t="s">
        <v>464</v>
      </c>
      <c r="C93" s="244">
        <v>170</v>
      </c>
      <c r="D93" s="237"/>
      <c r="E93" s="231"/>
      <c r="F93" s="54">
        <f t="shared" si="12"/>
        <v>847</v>
      </c>
      <c r="G93" s="240"/>
      <c r="H93" s="226"/>
      <c r="I93" s="62">
        <f t="shared" si="11"/>
        <v>0</v>
      </c>
      <c r="J93" s="248">
        <v>11000</v>
      </c>
      <c r="K93" s="246"/>
      <c r="L93" s="67">
        <f t="shared" si="13"/>
        <v>25287</v>
      </c>
    </row>
    <row r="94" spans="1:12" x14ac:dyDescent="0.3">
      <c r="A94" s="32">
        <v>46090</v>
      </c>
      <c r="B94" s="230" t="s">
        <v>465</v>
      </c>
      <c r="C94" s="244"/>
      <c r="D94" s="237"/>
      <c r="E94" s="231">
        <v>75</v>
      </c>
      <c r="F94" s="54">
        <f t="shared" si="12"/>
        <v>772</v>
      </c>
      <c r="G94" s="240"/>
      <c r="H94" s="226"/>
      <c r="I94" s="62">
        <f t="shared" si="11"/>
        <v>0</v>
      </c>
      <c r="J94" s="130"/>
      <c r="K94" s="246"/>
      <c r="L94" s="67">
        <f t="shared" si="13"/>
        <v>25287</v>
      </c>
    </row>
    <row r="95" spans="1:12" x14ac:dyDescent="0.3">
      <c r="A95" s="32">
        <v>46090</v>
      </c>
      <c r="B95" s="230" t="s">
        <v>466</v>
      </c>
      <c r="C95" s="244"/>
      <c r="D95" s="236"/>
      <c r="E95" s="231">
        <v>92</v>
      </c>
      <c r="F95" s="54">
        <f t="shared" si="12"/>
        <v>680</v>
      </c>
      <c r="G95" s="241"/>
      <c r="H95" s="226"/>
      <c r="I95" s="62">
        <f t="shared" si="11"/>
        <v>0</v>
      </c>
      <c r="J95" s="264"/>
      <c r="K95" s="246"/>
      <c r="L95" s="67">
        <f t="shared" si="13"/>
        <v>25287</v>
      </c>
    </row>
    <row r="96" spans="1:12" x14ac:dyDescent="0.3">
      <c r="A96" s="32">
        <v>46090</v>
      </c>
      <c r="B96" s="230" t="s">
        <v>467</v>
      </c>
      <c r="C96" s="244"/>
      <c r="D96" s="236"/>
      <c r="E96" s="231">
        <v>120</v>
      </c>
      <c r="F96" s="54">
        <f t="shared" si="12"/>
        <v>560</v>
      </c>
      <c r="G96" s="241"/>
      <c r="H96" s="226"/>
      <c r="I96" s="62">
        <f t="shared" si="11"/>
        <v>0</v>
      </c>
      <c r="J96" s="248"/>
      <c r="K96" s="246"/>
      <c r="L96" s="67">
        <f t="shared" si="13"/>
        <v>25287</v>
      </c>
    </row>
    <row r="97" spans="1:12" x14ac:dyDescent="0.3">
      <c r="A97" s="32">
        <v>46090</v>
      </c>
      <c r="B97" s="222" t="s">
        <v>42</v>
      </c>
      <c r="C97" s="239"/>
      <c r="D97" s="237"/>
      <c r="E97" s="231">
        <v>80</v>
      </c>
      <c r="F97" s="54">
        <f t="shared" si="12"/>
        <v>480</v>
      </c>
      <c r="G97" s="242"/>
      <c r="H97" s="227"/>
      <c r="I97" s="62">
        <f t="shared" si="11"/>
        <v>0</v>
      </c>
      <c r="J97" s="37"/>
      <c r="K97" s="246"/>
      <c r="L97" s="67">
        <f t="shared" si="13"/>
        <v>25287</v>
      </c>
    </row>
    <row r="98" spans="1:12" x14ac:dyDescent="0.3">
      <c r="A98" s="32">
        <v>46090</v>
      </c>
      <c r="B98" s="230" t="s">
        <v>25</v>
      </c>
      <c r="C98" s="244"/>
      <c r="D98" s="236"/>
      <c r="E98" s="231">
        <v>20</v>
      </c>
      <c r="F98" s="54">
        <f t="shared" si="12"/>
        <v>460</v>
      </c>
      <c r="G98" s="243"/>
      <c r="H98" s="227"/>
      <c r="I98" s="62">
        <f t="shared" si="11"/>
        <v>0</v>
      </c>
      <c r="J98" s="264"/>
      <c r="K98" s="246"/>
      <c r="L98" s="67">
        <f t="shared" si="13"/>
        <v>25287</v>
      </c>
    </row>
    <row r="99" spans="1:12" x14ac:dyDescent="0.3">
      <c r="A99" s="32">
        <v>46090</v>
      </c>
      <c r="B99" s="230" t="s">
        <v>292</v>
      </c>
      <c r="C99" s="244"/>
      <c r="D99" s="236"/>
      <c r="E99" s="231">
        <v>40</v>
      </c>
      <c r="F99" s="107">
        <f t="shared" si="12"/>
        <v>420</v>
      </c>
      <c r="G99" s="223"/>
      <c r="H99" s="221"/>
      <c r="I99" s="62">
        <f t="shared" si="11"/>
        <v>0</v>
      </c>
      <c r="J99" s="264"/>
      <c r="K99" s="246"/>
      <c r="L99" s="67">
        <f t="shared" si="13"/>
        <v>25287</v>
      </c>
    </row>
    <row r="100" spans="1:12" x14ac:dyDescent="0.3">
      <c r="A100" s="32">
        <v>46091</v>
      </c>
      <c r="B100" s="232" t="s">
        <v>468</v>
      </c>
      <c r="C100" s="244">
        <v>210</v>
      </c>
      <c r="D100" s="236"/>
      <c r="E100" s="231"/>
      <c r="F100" s="54">
        <f>+F99+C100+D100-E100</f>
        <v>630</v>
      </c>
      <c r="G100" s="240"/>
      <c r="H100" s="226">
        <v>0</v>
      </c>
      <c r="I100" s="62">
        <f t="shared" si="11"/>
        <v>0</v>
      </c>
      <c r="J100" s="272">
        <v>1000</v>
      </c>
      <c r="K100" s="246"/>
      <c r="L100" s="67">
        <f>+L99+J100-K100</f>
        <v>26287</v>
      </c>
    </row>
    <row r="101" spans="1:12" x14ac:dyDescent="0.3">
      <c r="A101" s="32">
        <v>46091</v>
      </c>
      <c r="B101" s="230" t="s">
        <v>413</v>
      </c>
      <c r="C101" s="245"/>
      <c r="D101" s="236"/>
      <c r="E101" s="231">
        <v>10</v>
      </c>
      <c r="F101" s="54">
        <f t="shared" ref="F101:F113" si="14">+F100+C101+D101-E101</f>
        <v>620</v>
      </c>
      <c r="G101" s="241"/>
      <c r="H101" s="226"/>
      <c r="I101" s="62">
        <f t="shared" si="11"/>
        <v>0</v>
      </c>
      <c r="J101" s="229"/>
      <c r="K101" s="246"/>
      <c r="L101" s="67">
        <f t="shared" ref="L101:L113" si="15">+L100+J101-K101</f>
        <v>26287</v>
      </c>
    </row>
    <row r="102" spans="1:12" x14ac:dyDescent="0.3">
      <c r="A102" s="32">
        <v>46091</v>
      </c>
      <c r="B102" s="230" t="s">
        <v>469</v>
      </c>
      <c r="C102" s="245"/>
      <c r="D102" s="237"/>
      <c r="E102" s="231"/>
      <c r="F102" s="54">
        <f t="shared" si="14"/>
        <v>620</v>
      </c>
      <c r="G102" s="241"/>
      <c r="H102" s="226"/>
      <c r="I102" s="62">
        <f t="shared" si="11"/>
        <v>0</v>
      </c>
      <c r="J102" s="130"/>
      <c r="K102" s="246">
        <v>10000</v>
      </c>
      <c r="L102" s="67">
        <f t="shared" si="15"/>
        <v>16287</v>
      </c>
    </row>
    <row r="103" spans="1:12" x14ac:dyDescent="0.3">
      <c r="A103" s="32">
        <v>46091</v>
      </c>
      <c r="B103" s="230" t="s">
        <v>470</v>
      </c>
      <c r="C103" s="245"/>
      <c r="D103" s="237"/>
      <c r="E103" s="231">
        <v>140</v>
      </c>
      <c r="F103" s="54">
        <f t="shared" si="14"/>
        <v>480</v>
      </c>
      <c r="G103" s="241"/>
      <c r="H103" s="280"/>
      <c r="I103" s="62">
        <f t="shared" si="11"/>
        <v>0</v>
      </c>
      <c r="J103" s="37"/>
      <c r="K103" s="246"/>
      <c r="L103" s="67">
        <f t="shared" si="15"/>
        <v>16287</v>
      </c>
    </row>
    <row r="104" spans="1:12" x14ac:dyDescent="0.3">
      <c r="A104" s="32">
        <v>46091</v>
      </c>
      <c r="B104" s="234" t="s">
        <v>471</v>
      </c>
      <c r="C104" s="245"/>
      <c r="D104" s="236">
        <v>6200</v>
      </c>
      <c r="E104" s="231"/>
      <c r="F104" s="54">
        <f t="shared" si="14"/>
        <v>6680</v>
      </c>
      <c r="G104" s="240"/>
      <c r="H104" s="226"/>
      <c r="I104" s="62">
        <f t="shared" si="11"/>
        <v>0</v>
      </c>
      <c r="J104" s="229"/>
      <c r="K104" s="246"/>
      <c r="L104" s="67">
        <f t="shared" si="15"/>
        <v>16287</v>
      </c>
    </row>
    <row r="105" spans="1:12" x14ac:dyDescent="0.3">
      <c r="A105" s="32">
        <v>46091</v>
      </c>
      <c r="B105" s="222" t="s">
        <v>23</v>
      </c>
      <c r="C105" s="245"/>
      <c r="D105" s="237"/>
      <c r="E105" s="231">
        <v>6200</v>
      </c>
      <c r="F105" s="54">
        <f t="shared" si="14"/>
        <v>480</v>
      </c>
      <c r="G105" s="240"/>
      <c r="H105" s="226"/>
      <c r="I105" s="62">
        <f t="shared" si="11"/>
        <v>0</v>
      </c>
      <c r="J105" s="271">
        <v>14136000</v>
      </c>
      <c r="K105" s="246"/>
      <c r="L105" s="67">
        <f t="shared" si="15"/>
        <v>14152287</v>
      </c>
    </row>
    <row r="106" spans="1:12" x14ac:dyDescent="0.3">
      <c r="A106" s="32">
        <v>46091</v>
      </c>
      <c r="B106" s="230" t="s">
        <v>472</v>
      </c>
      <c r="C106" s="245"/>
      <c r="D106" s="236"/>
      <c r="E106" s="231"/>
      <c r="F106" s="54">
        <f t="shared" si="14"/>
        <v>480</v>
      </c>
      <c r="G106" s="240"/>
      <c r="H106" s="228"/>
      <c r="I106" s="62">
        <f t="shared" si="11"/>
        <v>0</v>
      </c>
      <c r="J106" s="266"/>
      <c r="K106" s="246">
        <v>2248500</v>
      </c>
      <c r="L106" s="67">
        <f t="shared" si="15"/>
        <v>11903787</v>
      </c>
    </row>
    <row r="107" spans="1:12" x14ac:dyDescent="0.3">
      <c r="A107" s="32">
        <v>46091</v>
      </c>
      <c r="B107" s="230" t="s">
        <v>473</v>
      </c>
      <c r="C107" s="239"/>
      <c r="D107" s="236"/>
      <c r="E107" s="224"/>
      <c r="F107" s="54">
        <f t="shared" si="14"/>
        <v>480</v>
      </c>
      <c r="G107" s="241"/>
      <c r="H107" s="226"/>
      <c r="I107" s="62">
        <f t="shared" si="11"/>
        <v>0</v>
      </c>
      <c r="J107" s="233"/>
      <c r="K107" s="246">
        <v>1780500</v>
      </c>
      <c r="L107" s="67">
        <f t="shared" si="15"/>
        <v>10123287</v>
      </c>
    </row>
    <row r="108" spans="1:12" x14ac:dyDescent="0.3">
      <c r="A108" s="32">
        <v>46091</v>
      </c>
      <c r="B108" s="230" t="s">
        <v>474</v>
      </c>
      <c r="C108" s="244"/>
      <c r="D108" s="236"/>
      <c r="E108" s="231"/>
      <c r="F108" s="54">
        <f t="shared" si="14"/>
        <v>480</v>
      </c>
      <c r="G108" s="240"/>
      <c r="H108" s="226"/>
      <c r="I108" s="62">
        <f t="shared" si="11"/>
        <v>0</v>
      </c>
      <c r="J108" s="264"/>
      <c r="K108" s="246">
        <v>2720000</v>
      </c>
      <c r="L108" s="67">
        <f t="shared" si="15"/>
        <v>7403287</v>
      </c>
    </row>
    <row r="109" spans="1:12" x14ac:dyDescent="0.3">
      <c r="A109" s="32">
        <v>46091</v>
      </c>
      <c r="B109" s="230" t="s">
        <v>281</v>
      </c>
      <c r="C109" s="244"/>
      <c r="D109" s="236"/>
      <c r="E109" s="231"/>
      <c r="F109" s="54">
        <f t="shared" si="14"/>
        <v>480</v>
      </c>
      <c r="G109" s="240"/>
      <c r="H109" s="226"/>
      <c r="I109" s="62">
        <f t="shared" si="11"/>
        <v>0</v>
      </c>
      <c r="J109" s="264"/>
      <c r="K109" s="246">
        <v>2090000</v>
      </c>
      <c r="L109" s="67">
        <f t="shared" si="15"/>
        <v>5313287</v>
      </c>
    </row>
    <row r="110" spans="1:12" x14ac:dyDescent="0.3">
      <c r="A110" s="32">
        <v>46091</v>
      </c>
      <c r="B110" s="230" t="s">
        <v>282</v>
      </c>
      <c r="C110" s="244"/>
      <c r="D110" s="237"/>
      <c r="E110" s="231"/>
      <c r="F110" s="54">
        <f t="shared" si="14"/>
        <v>480</v>
      </c>
      <c r="G110" s="240"/>
      <c r="H110" s="226"/>
      <c r="I110" s="62">
        <f t="shared" si="11"/>
        <v>0</v>
      </c>
      <c r="J110" s="248"/>
      <c r="K110" s="246">
        <v>5150000</v>
      </c>
      <c r="L110" s="67">
        <f t="shared" si="15"/>
        <v>163287</v>
      </c>
    </row>
    <row r="111" spans="1:12" x14ac:dyDescent="0.3">
      <c r="A111" s="32">
        <v>46091</v>
      </c>
      <c r="B111" s="230" t="s">
        <v>459</v>
      </c>
      <c r="C111" s="244"/>
      <c r="D111" s="237"/>
      <c r="E111" s="231"/>
      <c r="F111" s="54">
        <f t="shared" si="14"/>
        <v>480</v>
      </c>
      <c r="G111" s="240"/>
      <c r="H111" s="226"/>
      <c r="I111" s="62">
        <f t="shared" si="11"/>
        <v>0</v>
      </c>
      <c r="J111" s="130"/>
      <c r="K111" s="246">
        <v>75000</v>
      </c>
      <c r="L111" s="67">
        <f t="shared" si="15"/>
        <v>88287</v>
      </c>
    </row>
    <row r="112" spans="1:12" x14ac:dyDescent="0.3">
      <c r="A112" s="32">
        <v>46091</v>
      </c>
      <c r="B112" s="222" t="s">
        <v>23</v>
      </c>
      <c r="C112" s="244"/>
      <c r="D112" s="236"/>
      <c r="E112" s="231">
        <v>150</v>
      </c>
      <c r="F112" s="54">
        <f t="shared" si="14"/>
        <v>330</v>
      </c>
      <c r="G112" s="241"/>
      <c r="H112" s="226"/>
      <c r="I112" s="62">
        <f t="shared" si="11"/>
        <v>0</v>
      </c>
      <c r="J112" s="271">
        <v>337500</v>
      </c>
      <c r="K112" s="246"/>
      <c r="L112" s="67">
        <f t="shared" si="15"/>
        <v>425787</v>
      </c>
    </row>
    <row r="113" spans="1:12" x14ac:dyDescent="0.3">
      <c r="A113" s="32">
        <v>46091</v>
      </c>
      <c r="B113" s="230" t="s">
        <v>475</v>
      </c>
      <c r="C113" s="244"/>
      <c r="D113" s="236"/>
      <c r="E113" s="231"/>
      <c r="F113" s="107">
        <f t="shared" si="14"/>
        <v>330</v>
      </c>
      <c r="G113" s="241"/>
      <c r="H113" s="226"/>
      <c r="I113" s="62">
        <f t="shared" si="11"/>
        <v>0</v>
      </c>
      <c r="J113" s="248"/>
      <c r="K113" s="246">
        <v>310000</v>
      </c>
      <c r="L113" s="67">
        <f t="shared" si="15"/>
        <v>115787</v>
      </c>
    </row>
    <row r="114" spans="1:12" x14ac:dyDescent="0.3">
      <c r="A114" s="32">
        <v>46092</v>
      </c>
      <c r="B114" s="222" t="s">
        <v>72</v>
      </c>
      <c r="C114" s="239"/>
      <c r="D114" s="237">
        <v>10000</v>
      </c>
      <c r="E114" s="231"/>
      <c r="F114" s="54">
        <f>+F113+C114+D114-E114</f>
        <v>10330</v>
      </c>
      <c r="G114" s="240"/>
      <c r="H114" s="226">
        <v>0</v>
      </c>
      <c r="I114" s="62">
        <f t="shared" si="11"/>
        <v>0</v>
      </c>
      <c r="J114" s="272"/>
      <c r="K114" s="246"/>
      <c r="L114" s="67">
        <f>+L113+J114-K114</f>
        <v>115787</v>
      </c>
    </row>
    <row r="115" spans="1:12" x14ac:dyDescent="0.3">
      <c r="A115" s="32">
        <v>46092</v>
      </c>
      <c r="B115" s="230" t="s">
        <v>476</v>
      </c>
      <c r="C115" s="244"/>
      <c r="D115" s="236"/>
      <c r="E115" s="231">
        <v>10000</v>
      </c>
      <c r="F115" s="54">
        <f t="shared" ref="F115:F119" si="16">+F114+C115+D115-E115</f>
        <v>330</v>
      </c>
      <c r="G115" s="241"/>
      <c r="H115" s="226"/>
      <c r="I115" s="62">
        <f t="shared" si="11"/>
        <v>0</v>
      </c>
      <c r="J115" s="229"/>
      <c r="K115" s="246"/>
      <c r="L115" s="67">
        <f t="shared" ref="L115:L119" si="17">+L114+J115-K115</f>
        <v>115787</v>
      </c>
    </row>
    <row r="116" spans="1:12" x14ac:dyDescent="0.3">
      <c r="A116" s="32">
        <v>46092</v>
      </c>
      <c r="B116" s="230" t="s">
        <v>477</v>
      </c>
      <c r="C116" s="245"/>
      <c r="D116" s="237"/>
      <c r="E116" s="231">
        <v>40</v>
      </c>
      <c r="F116" s="54">
        <f t="shared" si="16"/>
        <v>290</v>
      </c>
      <c r="G116" s="241"/>
      <c r="H116" s="226"/>
      <c r="I116" s="62">
        <f t="shared" si="11"/>
        <v>0</v>
      </c>
      <c r="J116" s="130"/>
      <c r="K116" s="246"/>
      <c r="L116" s="67">
        <f t="shared" si="17"/>
        <v>115787</v>
      </c>
    </row>
    <row r="117" spans="1:12" x14ac:dyDescent="0.3">
      <c r="A117" s="32">
        <v>46092</v>
      </c>
      <c r="B117" s="230" t="s">
        <v>478</v>
      </c>
      <c r="C117" s="245"/>
      <c r="D117" s="237"/>
      <c r="E117" s="231">
        <v>60</v>
      </c>
      <c r="F117" s="54">
        <f t="shared" si="16"/>
        <v>230</v>
      </c>
      <c r="G117" s="241"/>
      <c r="H117" s="280"/>
      <c r="I117" s="62">
        <f t="shared" si="11"/>
        <v>0</v>
      </c>
      <c r="J117" s="37"/>
      <c r="K117" s="246"/>
      <c r="L117" s="67">
        <f t="shared" si="17"/>
        <v>115787</v>
      </c>
    </row>
    <row r="118" spans="1:12" x14ac:dyDescent="0.3">
      <c r="A118" s="32">
        <v>46092</v>
      </c>
      <c r="B118" s="222" t="s">
        <v>23</v>
      </c>
      <c r="C118" s="245"/>
      <c r="D118" s="236"/>
      <c r="E118" s="231">
        <v>100</v>
      </c>
      <c r="F118" s="54">
        <f t="shared" si="16"/>
        <v>130</v>
      </c>
      <c r="G118" s="240"/>
      <c r="H118" s="226"/>
      <c r="I118" s="62">
        <f t="shared" si="11"/>
        <v>0</v>
      </c>
      <c r="J118" s="229">
        <v>225000</v>
      </c>
      <c r="K118" s="246"/>
      <c r="L118" s="67">
        <f t="shared" si="17"/>
        <v>340787</v>
      </c>
    </row>
    <row r="119" spans="1:12" x14ac:dyDescent="0.3">
      <c r="A119" s="32">
        <v>46092</v>
      </c>
      <c r="B119" s="230" t="s">
        <v>479</v>
      </c>
      <c r="C119" s="245"/>
      <c r="D119" s="237"/>
      <c r="E119" s="231"/>
      <c r="F119" s="107">
        <f t="shared" si="16"/>
        <v>130</v>
      </c>
      <c r="G119" s="240"/>
      <c r="H119" s="226"/>
      <c r="I119" s="62">
        <f t="shared" si="11"/>
        <v>0</v>
      </c>
      <c r="J119" s="271"/>
      <c r="K119" s="246">
        <v>211500</v>
      </c>
      <c r="L119" s="67">
        <f t="shared" si="17"/>
        <v>129287</v>
      </c>
    </row>
    <row r="120" spans="1:12" x14ac:dyDescent="0.3">
      <c r="A120" s="32">
        <v>46093</v>
      </c>
      <c r="B120" s="234" t="s">
        <v>471</v>
      </c>
      <c r="C120" s="245"/>
      <c r="D120" s="236">
        <v>1500</v>
      </c>
      <c r="E120" s="231"/>
      <c r="F120" s="54">
        <f>+F119+C120+D120-E120</f>
        <v>1630</v>
      </c>
      <c r="G120" s="240"/>
      <c r="H120" s="226">
        <v>0</v>
      </c>
      <c r="I120" s="62">
        <f t="shared" si="11"/>
        <v>0</v>
      </c>
      <c r="J120" s="272"/>
      <c r="K120" s="246"/>
      <c r="L120" s="67">
        <f>+L119+J120-K120</f>
        <v>129287</v>
      </c>
    </row>
    <row r="121" spans="1:12" x14ac:dyDescent="0.3">
      <c r="A121" s="32">
        <v>46093</v>
      </c>
      <c r="B121" s="230" t="s">
        <v>30</v>
      </c>
      <c r="C121" s="244"/>
      <c r="D121" s="236"/>
      <c r="E121" s="231">
        <v>100</v>
      </c>
      <c r="F121" s="54">
        <f t="shared" ref="F121:F125" si="18">+F120+C121+D121-E121</f>
        <v>1530</v>
      </c>
      <c r="G121" s="241"/>
      <c r="H121" s="226"/>
      <c r="I121" s="62">
        <f t="shared" si="11"/>
        <v>0</v>
      </c>
      <c r="J121" s="229"/>
      <c r="K121" s="246"/>
      <c r="L121" s="67">
        <f t="shared" ref="L121:L125" si="19">+L120+J121-K121</f>
        <v>129287</v>
      </c>
    </row>
    <row r="122" spans="1:12" x14ac:dyDescent="0.3">
      <c r="A122" s="32">
        <v>46093</v>
      </c>
      <c r="B122" s="230" t="s">
        <v>53</v>
      </c>
      <c r="C122" s="245"/>
      <c r="D122" s="237"/>
      <c r="E122" s="231">
        <v>120</v>
      </c>
      <c r="F122" s="54">
        <f t="shared" si="18"/>
        <v>1410</v>
      </c>
      <c r="G122" s="241"/>
      <c r="H122" s="226"/>
      <c r="I122" s="62">
        <f t="shared" si="11"/>
        <v>0</v>
      </c>
      <c r="J122" s="130"/>
      <c r="K122" s="246"/>
      <c r="L122" s="67">
        <f t="shared" si="19"/>
        <v>129287</v>
      </c>
    </row>
    <row r="123" spans="1:12" x14ac:dyDescent="0.3">
      <c r="A123" s="32">
        <v>46093</v>
      </c>
      <c r="B123" s="230" t="s">
        <v>86</v>
      </c>
      <c r="C123" s="245"/>
      <c r="D123" s="237"/>
      <c r="E123" s="231">
        <v>132</v>
      </c>
      <c r="F123" s="54">
        <f t="shared" si="18"/>
        <v>1278</v>
      </c>
      <c r="G123" s="241"/>
      <c r="H123" s="280"/>
      <c r="I123" s="62">
        <f t="shared" si="11"/>
        <v>0</v>
      </c>
      <c r="J123" s="37"/>
      <c r="K123" s="246"/>
      <c r="L123" s="67">
        <f t="shared" si="19"/>
        <v>129287</v>
      </c>
    </row>
    <row r="124" spans="1:12" x14ac:dyDescent="0.3">
      <c r="A124" s="32">
        <v>46093</v>
      </c>
      <c r="B124" s="230" t="s">
        <v>480</v>
      </c>
      <c r="C124" s="245"/>
      <c r="D124" s="236"/>
      <c r="E124" s="231">
        <v>500</v>
      </c>
      <c r="F124" s="54">
        <f t="shared" si="18"/>
        <v>778</v>
      </c>
      <c r="G124" s="240"/>
      <c r="H124" s="226"/>
      <c r="I124" s="62">
        <f t="shared" si="11"/>
        <v>0</v>
      </c>
      <c r="J124" s="229"/>
      <c r="K124" s="246"/>
      <c r="L124" s="67">
        <f t="shared" si="19"/>
        <v>129287</v>
      </c>
    </row>
    <row r="125" spans="1:12" x14ac:dyDescent="0.3">
      <c r="A125" s="32">
        <v>46093</v>
      </c>
      <c r="B125" s="230" t="s">
        <v>481</v>
      </c>
      <c r="C125" s="245"/>
      <c r="D125" s="237"/>
      <c r="E125" s="231"/>
      <c r="F125" s="107">
        <f t="shared" si="18"/>
        <v>778</v>
      </c>
      <c r="G125" s="240"/>
      <c r="H125" s="226"/>
      <c r="I125" s="62">
        <f t="shared" si="11"/>
        <v>0</v>
      </c>
      <c r="J125" s="271"/>
      <c r="K125" s="246">
        <v>80000</v>
      </c>
      <c r="L125" s="67">
        <f t="shared" si="19"/>
        <v>49287</v>
      </c>
    </row>
    <row r="126" spans="1:12" x14ac:dyDescent="0.3">
      <c r="A126" s="32">
        <v>46094</v>
      </c>
      <c r="B126" s="230" t="s">
        <v>31</v>
      </c>
      <c r="C126" s="245"/>
      <c r="D126" s="236"/>
      <c r="E126" s="231">
        <v>10</v>
      </c>
      <c r="F126" s="54">
        <f>+F125+C126+D126-E126</f>
        <v>768</v>
      </c>
      <c r="G126" s="240"/>
      <c r="H126" s="226">
        <v>0</v>
      </c>
      <c r="I126" s="62">
        <f t="shared" si="11"/>
        <v>0</v>
      </c>
      <c r="J126" s="272"/>
      <c r="K126" s="246"/>
      <c r="L126" s="67">
        <f>+L125+J126-K126</f>
        <v>49287</v>
      </c>
    </row>
    <row r="127" spans="1:12" x14ac:dyDescent="0.3">
      <c r="A127" s="32">
        <v>46094</v>
      </c>
      <c r="B127" s="230" t="s">
        <v>482</v>
      </c>
      <c r="C127" s="244"/>
      <c r="D127" s="236"/>
      <c r="E127" s="231">
        <v>15</v>
      </c>
      <c r="F127" s="54">
        <f t="shared" ref="F127:F136" si="20">+F126+C127+D127-E127</f>
        <v>753</v>
      </c>
      <c r="G127" s="241"/>
      <c r="H127" s="226"/>
      <c r="I127" s="62">
        <f t="shared" si="11"/>
        <v>0</v>
      </c>
      <c r="J127" s="229"/>
      <c r="K127" s="246"/>
      <c r="L127" s="67">
        <f t="shared" ref="L127:L136" si="21">+L126+J127-K127</f>
        <v>49287</v>
      </c>
    </row>
    <row r="128" spans="1:12" x14ac:dyDescent="0.3">
      <c r="A128" s="32">
        <v>46094</v>
      </c>
      <c r="B128" s="230" t="s">
        <v>52</v>
      </c>
      <c r="C128" s="245"/>
      <c r="D128" s="237"/>
      <c r="E128" s="231"/>
      <c r="F128" s="54">
        <f t="shared" si="20"/>
        <v>753</v>
      </c>
      <c r="G128" s="241"/>
      <c r="H128" s="226"/>
      <c r="I128" s="62">
        <f t="shared" si="11"/>
        <v>0</v>
      </c>
      <c r="J128" s="130"/>
      <c r="K128" s="246">
        <v>10000</v>
      </c>
      <c r="L128" s="67">
        <f t="shared" si="21"/>
        <v>39287</v>
      </c>
    </row>
    <row r="129" spans="1:12" x14ac:dyDescent="0.3">
      <c r="A129" s="32">
        <v>46094</v>
      </c>
      <c r="B129" s="230" t="s">
        <v>483</v>
      </c>
      <c r="C129" s="245"/>
      <c r="D129" s="237"/>
      <c r="E129" s="231">
        <v>200</v>
      </c>
      <c r="F129" s="54">
        <f t="shared" si="20"/>
        <v>553</v>
      </c>
      <c r="G129" s="241"/>
      <c r="H129" s="280"/>
      <c r="I129" s="62">
        <f t="shared" si="11"/>
        <v>0</v>
      </c>
      <c r="J129" s="37"/>
      <c r="K129" s="246"/>
      <c r="L129" s="67">
        <f t="shared" si="21"/>
        <v>39287</v>
      </c>
    </row>
    <row r="130" spans="1:12" x14ac:dyDescent="0.3">
      <c r="A130" s="32">
        <v>46094</v>
      </c>
      <c r="B130" s="220" t="s">
        <v>484</v>
      </c>
      <c r="C130" s="244"/>
      <c r="D130" s="236"/>
      <c r="E130" s="231">
        <v>264</v>
      </c>
      <c r="F130" s="54">
        <f t="shared" si="20"/>
        <v>289</v>
      </c>
      <c r="G130" s="240"/>
      <c r="H130" s="226"/>
      <c r="I130" s="62">
        <f t="shared" si="11"/>
        <v>0</v>
      </c>
      <c r="J130" s="229"/>
      <c r="K130" s="246"/>
      <c r="L130" s="67">
        <f t="shared" si="21"/>
        <v>39287</v>
      </c>
    </row>
    <row r="131" spans="1:12" x14ac:dyDescent="0.3">
      <c r="A131" s="32">
        <v>46094</v>
      </c>
      <c r="B131" s="222" t="s">
        <v>23</v>
      </c>
      <c r="C131" s="244"/>
      <c r="D131" s="236"/>
      <c r="E131" s="224">
        <v>200</v>
      </c>
      <c r="F131" s="54">
        <f t="shared" si="20"/>
        <v>89</v>
      </c>
      <c r="G131" s="240"/>
      <c r="H131" s="226"/>
      <c r="I131" s="62">
        <f t="shared" si="11"/>
        <v>0</v>
      </c>
      <c r="J131" s="271">
        <v>450000</v>
      </c>
      <c r="K131" s="246"/>
      <c r="L131" s="67">
        <f t="shared" si="21"/>
        <v>489287</v>
      </c>
    </row>
    <row r="132" spans="1:12" x14ac:dyDescent="0.3">
      <c r="A132" s="32">
        <v>46094</v>
      </c>
      <c r="B132" s="230" t="s">
        <v>485</v>
      </c>
      <c r="C132" s="245"/>
      <c r="D132" s="236"/>
      <c r="E132" s="231"/>
      <c r="F132" s="54">
        <f t="shared" si="20"/>
        <v>89</v>
      </c>
      <c r="G132" s="240"/>
      <c r="H132" s="228"/>
      <c r="I132" s="62">
        <f t="shared" si="11"/>
        <v>0</v>
      </c>
      <c r="J132" s="266"/>
      <c r="K132" s="246">
        <v>12500</v>
      </c>
      <c r="L132" s="67">
        <f t="shared" si="21"/>
        <v>476787</v>
      </c>
    </row>
    <row r="133" spans="1:12" x14ac:dyDescent="0.3">
      <c r="A133" s="32">
        <v>46094</v>
      </c>
      <c r="B133" s="230" t="s">
        <v>341</v>
      </c>
      <c r="C133" s="239"/>
      <c r="D133" s="236"/>
      <c r="E133" s="224"/>
      <c r="F133" s="54">
        <f t="shared" si="20"/>
        <v>89</v>
      </c>
      <c r="G133" s="241"/>
      <c r="H133" s="226"/>
      <c r="I133" s="62">
        <f t="shared" si="11"/>
        <v>0</v>
      </c>
      <c r="J133" s="233"/>
      <c r="K133" s="246">
        <v>406500</v>
      </c>
      <c r="L133" s="67">
        <f t="shared" si="21"/>
        <v>70287</v>
      </c>
    </row>
    <row r="134" spans="1:12" x14ac:dyDescent="0.3">
      <c r="A134" s="32">
        <v>46094</v>
      </c>
      <c r="B134" s="234" t="s">
        <v>471</v>
      </c>
      <c r="C134" s="245"/>
      <c r="D134" s="236">
        <v>1000</v>
      </c>
      <c r="E134" s="231"/>
      <c r="F134" s="54">
        <f t="shared" si="20"/>
        <v>1089</v>
      </c>
      <c r="G134" s="240"/>
      <c r="H134" s="226"/>
      <c r="I134" s="62">
        <f t="shared" ref="I134:I197" si="22">+I133+G134-H134</f>
        <v>0</v>
      </c>
      <c r="J134" s="264"/>
      <c r="K134" s="246"/>
      <c r="L134" s="67">
        <f t="shared" si="21"/>
        <v>70287</v>
      </c>
    </row>
    <row r="135" spans="1:12" x14ac:dyDescent="0.3">
      <c r="A135" s="32">
        <v>46094</v>
      </c>
      <c r="B135" s="230" t="s">
        <v>486</v>
      </c>
      <c r="C135" s="244"/>
      <c r="D135" s="236"/>
      <c r="E135" s="231">
        <v>300</v>
      </c>
      <c r="F135" s="54">
        <f t="shared" si="20"/>
        <v>789</v>
      </c>
      <c r="G135" s="240"/>
      <c r="H135" s="226"/>
      <c r="I135" s="62">
        <f t="shared" si="22"/>
        <v>0</v>
      </c>
      <c r="J135" s="264"/>
      <c r="K135" s="246"/>
      <c r="L135" s="67">
        <f t="shared" si="21"/>
        <v>70287</v>
      </c>
    </row>
    <row r="136" spans="1:12" x14ac:dyDescent="0.3">
      <c r="A136" s="32">
        <v>46094</v>
      </c>
      <c r="B136" s="230" t="s">
        <v>487</v>
      </c>
      <c r="C136" s="244"/>
      <c r="D136" s="236"/>
      <c r="E136" s="231">
        <v>250</v>
      </c>
      <c r="F136" s="107">
        <f t="shared" si="20"/>
        <v>539</v>
      </c>
      <c r="G136" s="240"/>
      <c r="H136" s="226"/>
      <c r="I136" s="62">
        <f t="shared" si="22"/>
        <v>0</v>
      </c>
      <c r="J136" s="248"/>
      <c r="K136" s="246"/>
      <c r="L136" s="67">
        <f t="shared" si="21"/>
        <v>70287</v>
      </c>
    </row>
    <row r="137" spans="1:12" x14ac:dyDescent="0.3">
      <c r="A137" s="32">
        <v>46097</v>
      </c>
      <c r="B137" s="230" t="s">
        <v>70</v>
      </c>
      <c r="C137" s="245"/>
      <c r="D137" s="236"/>
      <c r="E137" s="231">
        <v>50</v>
      </c>
      <c r="F137" s="54">
        <f>+F136+C137+D137-E137</f>
        <v>489</v>
      </c>
      <c r="G137" s="240"/>
      <c r="H137" s="226">
        <v>0</v>
      </c>
      <c r="I137" s="62">
        <f t="shared" si="22"/>
        <v>0</v>
      </c>
      <c r="J137" s="272"/>
      <c r="K137" s="246"/>
      <c r="L137" s="67">
        <f>+L136+J137-K137</f>
        <v>70287</v>
      </c>
    </row>
    <row r="138" spans="1:12" x14ac:dyDescent="0.3">
      <c r="A138" s="32">
        <v>46097</v>
      </c>
      <c r="B138" s="230" t="s">
        <v>27</v>
      </c>
      <c r="C138" s="244"/>
      <c r="D138" s="236"/>
      <c r="E138" s="231">
        <v>40</v>
      </c>
      <c r="F138" s="54">
        <f t="shared" ref="F138:F153" si="23">+F137+C138+D138-E138</f>
        <v>449</v>
      </c>
      <c r="G138" s="241"/>
      <c r="H138" s="226"/>
      <c r="I138" s="62">
        <f t="shared" si="22"/>
        <v>0</v>
      </c>
      <c r="J138" s="229"/>
      <c r="K138" s="246"/>
      <c r="L138" s="67">
        <f t="shared" ref="L138:L153" si="24">+L137+J138-K138</f>
        <v>70287</v>
      </c>
    </row>
    <row r="139" spans="1:12" x14ac:dyDescent="0.3">
      <c r="A139" s="32">
        <v>46097</v>
      </c>
      <c r="B139" s="230" t="s">
        <v>77</v>
      </c>
      <c r="C139" s="245"/>
      <c r="D139" s="237"/>
      <c r="E139" s="231">
        <v>50</v>
      </c>
      <c r="F139" s="54">
        <f t="shared" si="23"/>
        <v>399</v>
      </c>
      <c r="G139" s="241"/>
      <c r="H139" s="226"/>
      <c r="I139" s="62">
        <f t="shared" si="22"/>
        <v>0</v>
      </c>
      <c r="J139" s="130"/>
      <c r="K139" s="246"/>
      <c r="L139" s="67">
        <f t="shared" si="24"/>
        <v>70287</v>
      </c>
    </row>
    <row r="140" spans="1:12" x14ac:dyDescent="0.3">
      <c r="A140" s="32">
        <v>46097</v>
      </c>
      <c r="B140" s="230" t="s">
        <v>299</v>
      </c>
      <c r="C140" s="245"/>
      <c r="D140" s="237"/>
      <c r="E140" s="231">
        <v>70</v>
      </c>
      <c r="F140" s="54">
        <f t="shared" si="23"/>
        <v>329</v>
      </c>
      <c r="G140" s="241"/>
      <c r="H140" s="280"/>
      <c r="I140" s="62">
        <f t="shared" si="22"/>
        <v>0</v>
      </c>
      <c r="J140" s="37"/>
      <c r="K140" s="246"/>
      <c r="L140" s="67">
        <f t="shared" si="24"/>
        <v>70287</v>
      </c>
    </row>
    <row r="141" spans="1:12" x14ac:dyDescent="0.3">
      <c r="A141" s="32">
        <v>46097</v>
      </c>
      <c r="B141" s="230" t="s">
        <v>488</v>
      </c>
      <c r="C141" s="244"/>
      <c r="D141" s="236"/>
      <c r="E141" s="231">
        <v>10</v>
      </c>
      <c r="F141" s="54">
        <f t="shared" si="23"/>
        <v>319</v>
      </c>
      <c r="G141" s="240"/>
      <c r="H141" s="226"/>
      <c r="I141" s="62">
        <f t="shared" si="22"/>
        <v>0</v>
      </c>
      <c r="J141" s="229"/>
      <c r="K141" s="246"/>
      <c r="L141" s="67">
        <f t="shared" si="24"/>
        <v>70287</v>
      </c>
    </row>
    <row r="142" spans="1:12" x14ac:dyDescent="0.3">
      <c r="A142" s="32">
        <v>46097</v>
      </c>
      <c r="B142" s="230" t="s">
        <v>36</v>
      </c>
      <c r="C142" s="244"/>
      <c r="D142" s="236"/>
      <c r="E142" s="231">
        <v>50</v>
      </c>
      <c r="F142" s="54">
        <f t="shared" si="23"/>
        <v>269</v>
      </c>
      <c r="G142" s="240"/>
      <c r="H142" s="226"/>
      <c r="I142" s="62">
        <f t="shared" si="22"/>
        <v>0</v>
      </c>
      <c r="J142" s="271"/>
      <c r="K142" s="246"/>
      <c r="L142" s="67">
        <f t="shared" si="24"/>
        <v>70287</v>
      </c>
    </row>
    <row r="143" spans="1:12" x14ac:dyDescent="0.3">
      <c r="A143" s="32">
        <v>46097</v>
      </c>
      <c r="B143" s="230" t="s">
        <v>48</v>
      </c>
      <c r="C143" s="245"/>
      <c r="D143" s="236"/>
      <c r="E143" s="231">
        <v>70</v>
      </c>
      <c r="F143" s="54">
        <f t="shared" si="23"/>
        <v>199</v>
      </c>
      <c r="G143" s="240"/>
      <c r="H143" s="228"/>
      <c r="I143" s="62">
        <f t="shared" si="22"/>
        <v>0</v>
      </c>
      <c r="J143" s="266"/>
      <c r="K143" s="246"/>
      <c r="L143" s="67">
        <f t="shared" si="24"/>
        <v>70287</v>
      </c>
    </row>
    <row r="144" spans="1:12" x14ac:dyDescent="0.3">
      <c r="A144" s="32">
        <v>46097</v>
      </c>
      <c r="B144" s="234" t="s">
        <v>471</v>
      </c>
      <c r="C144" s="245"/>
      <c r="D144" s="236">
        <v>1500</v>
      </c>
      <c r="E144" s="224"/>
      <c r="F144" s="54">
        <f t="shared" si="23"/>
        <v>1699</v>
      </c>
      <c r="G144" s="241"/>
      <c r="H144" s="226"/>
      <c r="I144" s="62">
        <f t="shared" si="22"/>
        <v>0</v>
      </c>
      <c r="J144" s="233"/>
      <c r="K144" s="246"/>
      <c r="L144" s="67">
        <f t="shared" si="24"/>
        <v>70287</v>
      </c>
    </row>
    <row r="145" spans="1:12" x14ac:dyDescent="0.3">
      <c r="A145" s="32">
        <v>46097</v>
      </c>
      <c r="B145" s="230" t="s">
        <v>489</v>
      </c>
      <c r="C145" s="245"/>
      <c r="D145" s="236"/>
      <c r="E145" s="231">
        <v>317</v>
      </c>
      <c r="F145" s="54">
        <f t="shared" si="23"/>
        <v>1382</v>
      </c>
      <c r="G145" s="240"/>
      <c r="H145" s="226"/>
      <c r="I145" s="62">
        <f t="shared" si="22"/>
        <v>0</v>
      </c>
      <c r="J145" s="264"/>
      <c r="K145" s="246"/>
      <c r="L145" s="67">
        <f t="shared" si="24"/>
        <v>70287</v>
      </c>
    </row>
    <row r="146" spans="1:12" x14ac:dyDescent="0.3">
      <c r="A146" s="32">
        <v>46097</v>
      </c>
      <c r="B146" s="230" t="s">
        <v>490</v>
      </c>
      <c r="C146" s="244"/>
      <c r="D146" s="236"/>
      <c r="E146" s="231">
        <v>40</v>
      </c>
      <c r="F146" s="54">
        <f t="shared" si="23"/>
        <v>1342</v>
      </c>
      <c r="G146" s="240"/>
      <c r="H146" s="226"/>
      <c r="I146" s="62">
        <f t="shared" si="22"/>
        <v>0</v>
      </c>
      <c r="J146" s="264"/>
      <c r="K146" s="246"/>
      <c r="L146" s="67">
        <f t="shared" si="24"/>
        <v>70287</v>
      </c>
    </row>
    <row r="147" spans="1:12" x14ac:dyDescent="0.3">
      <c r="A147" s="32">
        <v>46097</v>
      </c>
      <c r="B147" s="230" t="s">
        <v>491</v>
      </c>
      <c r="C147" s="244"/>
      <c r="D147" s="236"/>
      <c r="E147" s="231">
        <v>50</v>
      </c>
      <c r="F147" s="54">
        <f t="shared" si="23"/>
        <v>1292</v>
      </c>
      <c r="G147" s="240"/>
      <c r="H147" s="226"/>
      <c r="I147" s="62">
        <f t="shared" si="22"/>
        <v>0</v>
      </c>
      <c r="J147" s="248"/>
      <c r="K147" s="246"/>
      <c r="L147" s="67">
        <f t="shared" si="24"/>
        <v>70287</v>
      </c>
    </row>
    <row r="148" spans="1:12" x14ac:dyDescent="0.3">
      <c r="A148" s="32">
        <v>46097</v>
      </c>
      <c r="B148" s="230" t="s">
        <v>416</v>
      </c>
      <c r="C148" s="244"/>
      <c r="D148" s="237"/>
      <c r="E148" s="231">
        <v>300</v>
      </c>
      <c r="F148" s="54">
        <f t="shared" si="23"/>
        <v>992</v>
      </c>
      <c r="G148" s="240"/>
      <c r="H148" s="226"/>
      <c r="I148" s="62">
        <f t="shared" si="22"/>
        <v>0</v>
      </c>
      <c r="J148" s="130"/>
      <c r="K148" s="246"/>
      <c r="L148" s="67">
        <f t="shared" si="24"/>
        <v>70287</v>
      </c>
    </row>
    <row r="149" spans="1:12" x14ac:dyDescent="0.3">
      <c r="A149" s="32">
        <v>46097</v>
      </c>
      <c r="B149" s="230" t="s">
        <v>492</v>
      </c>
      <c r="C149" s="244"/>
      <c r="D149" s="236"/>
      <c r="E149" s="231">
        <v>835</v>
      </c>
      <c r="F149" s="54">
        <f t="shared" si="23"/>
        <v>157</v>
      </c>
      <c r="G149" s="241"/>
      <c r="H149" s="226"/>
      <c r="I149" s="62">
        <f t="shared" si="22"/>
        <v>0</v>
      </c>
      <c r="J149" s="271"/>
      <c r="K149" s="246"/>
      <c r="L149" s="67">
        <f t="shared" si="24"/>
        <v>70287</v>
      </c>
    </row>
    <row r="150" spans="1:12" x14ac:dyDescent="0.3">
      <c r="A150" s="32">
        <v>46097</v>
      </c>
      <c r="B150" s="230" t="s">
        <v>45</v>
      </c>
      <c r="C150" s="244"/>
      <c r="D150" s="236"/>
      <c r="E150" s="231">
        <v>80</v>
      </c>
      <c r="F150" s="54">
        <f t="shared" si="23"/>
        <v>77</v>
      </c>
      <c r="G150" s="241"/>
      <c r="H150" s="226"/>
      <c r="I150" s="62">
        <f t="shared" si="22"/>
        <v>0</v>
      </c>
      <c r="J150" s="248"/>
      <c r="K150" s="246"/>
      <c r="L150" s="67">
        <f t="shared" si="24"/>
        <v>70287</v>
      </c>
    </row>
    <row r="151" spans="1:12" x14ac:dyDescent="0.3">
      <c r="A151" s="32">
        <v>46097</v>
      </c>
      <c r="B151" s="230" t="s">
        <v>25</v>
      </c>
      <c r="C151" s="239"/>
      <c r="D151" s="237"/>
      <c r="E151" s="231">
        <v>20</v>
      </c>
      <c r="F151" s="54">
        <f t="shared" si="23"/>
        <v>57</v>
      </c>
      <c r="G151" s="242"/>
      <c r="H151" s="227"/>
      <c r="I151" s="62">
        <f t="shared" si="22"/>
        <v>0</v>
      </c>
      <c r="J151" s="37"/>
      <c r="K151" s="246"/>
      <c r="L151" s="67">
        <f t="shared" si="24"/>
        <v>70287</v>
      </c>
    </row>
    <row r="152" spans="1:12" x14ac:dyDescent="0.3">
      <c r="A152" s="32">
        <v>46097</v>
      </c>
      <c r="B152" s="230" t="s">
        <v>292</v>
      </c>
      <c r="C152" s="244"/>
      <c r="D152" s="236"/>
      <c r="E152" s="231">
        <v>40</v>
      </c>
      <c r="F152" s="54">
        <f t="shared" si="23"/>
        <v>17</v>
      </c>
      <c r="G152" s="243"/>
      <c r="H152" s="227"/>
      <c r="I152" s="62">
        <f t="shared" si="22"/>
        <v>0</v>
      </c>
      <c r="J152" s="264"/>
      <c r="K152" s="246"/>
      <c r="L152" s="67">
        <f t="shared" si="24"/>
        <v>70287</v>
      </c>
    </row>
    <row r="153" spans="1:12" x14ac:dyDescent="0.3">
      <c r="A153" s="32">
        <v>46097</v>
      </c>
      <c r="B153" s="230" t="s">
        <v>770</v>
      </c>
      <c r="C153" s="244"/>
      <c r="D153" s="236"/>
      <c r="E153" s="231">
        <v>17</v>
      </c>
      <c r="F153" s="107">
        <f t="shared" si="23"/>
        <v>0</v>
      </c>
      <c r="G153" s="223"/>
      <c r="H153" s="221"/>
      <c r="I153" s="62">
        <f t="shared" si="22"/>
        <v>0</v>
      </c>
      <c r="J153" s="264"/>
      <c r="K153" s="246"/>
      <c r="L153" s="67">
        <f t="shared" si="24"/>
        <v>70287</v>
      </c>
    </row>
    <row r="154" spans="1:12" x14ac:dyDescent="0.3">
      <c r="A154" s="32">
        <v>46098</v>
      </c>
      <c r="B154" s="234" t="s">
        <v>493</v>
      </c>
      <c r="C154" s="245"/>
      <c r="D154" s="236">
        <v>1500</v>
      </c>
      <c r="E154" s="231"/>
      <c r="F154" s="54">
        <f>+F153+C154+D154-E154</f>
        <v>1500</v>
      </c>
      <c r="G154" s="240"/>
      <c r="H154" s="226">
        <v>0</v>
      </c>
      <c r="I154" s="62">
        <f t="shared" si="22"/>
        <v>0</v>
      </c>
      <c r="J154" s="272"/>
      <c r="K154" s="246"/>
      <c r="L154" s="67">
        <f>+L153+J154-K154</f>
        <v>70287</v>
      </c>
    </row>
    <row r="155" spans="1:12" x14ac:dyDescent="0.3">
      <c r="A155" s="32">
        <v>46098</v>
      </c>
      <c r="B155" s="230" t="s">
        <v>494</v>
      </c>
      <c r="C155" s="244"/>
      <c r="D155" s="236"/>
      <c r="E155" s="231">
        <v>50</v>
      </c>
      <c r="F155" s="54">
        <f t="shared" ref="F155:F167" si="25">+F154+C155+D155-E155</f>
        <v>1450</v>
      </c>
      <c r="G155" s="241"/>
      <c r="H155" s="226"/>
      <c r="I155" s="62">
        <f t="shared" si="22"/>
        <v>0</v>
      </c>
      <c r="J155" s="229"/>
      <c r="K155" s="246"/>
      <c r="L155" s="67">
        <f t="shared" ref="L155:L167" si="26">+L154+J155-K155</f>
        <v>70287</v>
      </c>
    </row>
    <row r="156" spans="1:12" x14ac:dyDescent="0.3">
      <c r="A156" s="32">
        <v>46098</v>
      </c>
      <c r="B156" s="230" t="s">
        <v>495</v>
      </c>
      <c r="C156" s="245"/>
      <c r="D156" s="237"/>
      <c r="E156" s="231"/>
      <c r="F156" s="54">
        <f t="shared" si="25"/>
        <v>1450</v>
      </c>
      <c r="G156" s="241"/>
      <c r="H156" s="226"/>
      <c r="I156" s="62">
        <f t="shared" si="22"/>
        <v>0</v>
      </c>
      <c r="J156" s="130"/>
      <c r="K156" s="246">
        <v>10000</v>
      </c>
      <c r="L156" s="67">
        <f t="shared" si="26"/>
        <v>60287</v>
      </c>
    </row>
    <row r="157" spans="1:12" x14ac:dyDescent="0.3">
      <c r="A157" s="32">
        <v>46098</v>
      </c>
      <c r="B157" s="230" t="s">
        <v>496</v>
      </c>
      <c r="C157" s="245"/>
      <c r="D157" s="237"/>
      <c r="E157" s="231"/>
      <c r="F157" s="54">
        <f t="shared" si="25"/>
        <v>1450</v>
      </c>
      <c r="G157" s="241"/>
      <c r="H157" s="280"/>
      <c r="I157" s="62">
        <f t="shared" si="22"/>
        <v>0</v>
      </c>
      <c r="J157" s="37"/>
      <c r="K157" s="246">
        <v>5000</v>
      </c>
      <c r="L157" s="67">
        <f t="shared" si="26"/>
        <v>55287</v>
      </c>
    </row>
    <row r="158" spans="1:12" x14ac:dyDescent="0.3">
      <c r="A158" s="32">
        <v>46098</v>
      </c>
      <c r="B158" s="230" t="s">
        <v>337</v>
      </c>
      <c r="C158" s="244"/>
      <c r="D158" s="236"/>
      <c r="E158" s="231"/>
      <c r="F158" s="54">
        <f t="shared" si="25"/>
        <v>1450</v>
      </c>
      <c r="G158" s="240"/>
      <c r="H158" s="226"/>
      <c r="I158" s="62">
        <f t="shared" si="22"/>
        <v>0</v>
      </c>
      <c r="J158" s="229"/>
      <c r="K158" s="246">
        <v>10000</v>
      </c>
      <c r="L158" s="67">
        <f t="shared" si="26"/>
        <v>45287</v>
      </c>
    </row>
    <row r="159" spans="1:12" x14ac:dyDescent="0.3">
      <c r="A159" s="32">
        <v>46098</v>
      </c>
      <c r="B159" s="230" t="s">
        <v>497</v>
      </c>
      <c r="C159" s="244"/>
      <c r="D159" s="236"/>
      <c r="E159" s="231">
        <v>230</v>
      </c>
      <c r="F159" s="54">
        <f t="shared" si="25"/>
        <v>1220</v>
      </c>
      <c r="G159" s="240"/>
      <c r="H159" s="226"/>
      <c r="I159" s="62">
        <f t="shared" si="22"/>
        <v>0</v>
      </c>
      <c r="J159" s="271"/>
      <c r="K159" s="246"/>
      <c r="L159" s="67">
        <f t="shared" si="26"/>
        <v>45287</v>
      </c>
    </row>
    <row r="160" spans="1:12" x14ac:dyDescent="0.3">
      <c r="A160" s="32">
        <v>46098</v>
      </c>
      <c r="B160" s="230" t="s">
        <v>498</v>
      </c>
      <c r="C160" s="245"/>
      <c r="D160" s="236"/>
      <c r="E160" s="231">
        <v>156</v>
      </c>
      <c r="F160" s="54">
        <f t="shared" si="25"/>
        <v>1064</v>
      </c>
      <c r="G160" s="240"/>
      <c r="H160" s="228"/>
      <c r="I160" s="62">
        <f t="shared" si="22"/>
        <v>0</v>
      </c>
      <c r="J160" s="266"/>
      <c r="K160" s="246"/>
      <c r="L160" s="67">
        <f t="shared" si="26"/>
        <v>45287</v>
      </c>
    </row>
    <row r="161" spans="1:12" x14ac:dyDescent="0.3">
      <c r="A161" s="32">
        <v>46098</v>
      </c>
      <c r="B161" s="230" t="s">
        <v>499</v>
      </c>
      <c r="C161" s="245"/>
      <c r="D161" s="236"/>
      <c r="E161" s="231">
        <v>50</v>
      </c>
      <c r="F161" s="54">
        <f t="shared" si="25"/>
        <v>1014</v>
      </c>
      <c r="G161" s="241"/>
      <c r="H161" s="226"/>
      <c r="I161" s="62">
        <f t="shared" si="22"/>
        <v>0</v>
      </c>
      <c r="J161" s="233"/>
      <c r="K161" s="246"/>
      <c r="L161" s="67">
        <f t="shared" si="26"/>
        <v>45287</v>
      </c>
    </row>
    <row r="162" spans="1:12" x14ac:dyDescent="0.3">
      <c r="A162" s="32">
        <v>46098</v>
      </c>
      <c r="B162" s="230" t="s">
        <v>500</v>
      </c>
      <c r="C162" s="245"/>
      <c r="D162" s="236"/>
      <c r="E162" s="231">
        <v>42</v>
      </c>
      <c r="F162" s="54">
        <f t="shared" si="25"/>
        <v>972</v>
      </c>
      <c r="G162" s="240"/>
      <c r="H162" s="226"/>
      <c r="I162" s="62">
        <f t="shared" si="22"/>
        <v>0</v>
      </c>
      <c r="J162" s="264"/>
      <c r="K162" s="246"/>
      <c r="L162" s="67">
        <f t="shared" si="26"/>
        <v>45287</v>
      </c>
    </row>
    <row r="163" spans="1:12" x14ac:dyDescent="0.3">
      <c r="A163" s="32">
        <v>46098</v>
      </c>
      <c r="B163" s="230" t="s">
        <v>501</v>
      </c>
      <c r="C163" s="244"/>
      <c r="D163" s="236"/>
      <c r="E163" s="231">
        <v>70</v>
      </c>
      <c r="F163" s="54">
        <f t="shared" si="25"/>
        <v>902</v>
      </c>
      <c r="G163" s="240"/>
      <c r="H163" s="226"/>
      <c r="I163" s="62">
        <f t="shared" si="22"/>
        <v>0</v>
      </c>
      <c r="J163" s="264"/>
      <c r="K163" s="246"/>
      <c r="L163" s="67">
        <f t="shared" si="26"/>
        <v>45287</v>
      </c>
    </row>
    <row r="164" spans="1:12" x14ac:dyDescent="0.3">
      <c r="A164" s="32">
        <v>46098</v>
      </c>
      <c r="B164" s="230" t="s">
        <v>502</v>
      </c>
      <c r="C164" s="244"/>
      <c r="D164" s="236"/>
      <c r="E164" s="231">
        <v>47</v>
      </c>
      <c r="F164" s="54">
        <f t="shared" si="25"/>
        <v>855</v>
      </c>
      <c r="G164" s="240"/>
      <c r="H164" s="226"/>
      <c r="I164" s="62">
        <f t="shared" si="22"/>
        <v>0</v>
      </c>
      <c r="J164" s="248"/>
      <c r="K164" s="246"/>
      <c r="L164" s="67">
        <f t="shared" si="26"/>
        <v>45287</v>
      </c>
    </row>
    <row r="165" spans="1:12" x14ac:dyDescent="0.3">
      <c r="A165" s="32">
        <v>46098</v>
      </c>
      <c r="B165" s="230" t="s">
        <v>503</v>
      </c>
      <c r="C165" s="244"/>
      <c r="D165" s="237"/>
      <c r="E165" s="231">
        <v>100</v>
      </c>
      <c r="F165" s="54">
        <f t="shared" si="25"/>
        <v>755</v>
      </c>
      <c r="G165" s="240"/>
      <c r="H165" s="226"/>
      <c r="I165" s="62">
        <f t="shared" si="22"/>
        <v>0</v>
      </c>
      <c r="J165" s="130"/>
      <c r="K165" s="246"/>
      <c r="L165" s="67">
        <f t="shared" si="26"/>
        <v>45287</v>
      </c>
    </row>
    <row r="166" spans="1:12" x14ac:dyDescent="0.3">
      <c r="A166" s="32">
        <v>46098</v>
      </c>
      <c r="B166" s="230" t="s">
        <v>504</v>
      </c>
      <c r="C166" s="244"/>
      <c r="D166" s="236"/>
      <c r="E166" s="231">
        <v>100</v>
      </c>
      <c r="F166" s="54">
        <f t="shared" si="25"/>
        <v>655</v>
      </c>
      <c r="G166" s="241"/>
      <c r="H166" s="226"/>
      <c r="I166" s="62">
        <f t="shared" si="22"/>
        <v>0</v>
      </c>
      <c r="J166" s="271"/>
      <c r="K166" s="246"/>
      <c r="L166" s="67">
        <f t="shared" si="26"/>
        <v>45287</v>
      </c>
    </row>
    <row r="167" spans="1:12" x14ac:dyDescent="0.3">
      <c r="A167" s="32">
        <v>46098</v>
      </c>
      <c r="B167" s="222" t="s">
        <v>85</v>
      </c>
      <c r="C167" s="244"/>
      <c r="D167" s="237">
        <v>10</v>
      </c>
      <c r="E167" s="231"/>
      <c r="F167" s="107">
        <f t="shared" si="25"/>
        <v>665</v>
      </c>
      <c r="G167" s="241"/>
      <c r="H167" s="226"/>
      <c r="I167" s="62">
        <f t="shared" si="22"/>
        <v>0</v>
      </c>
      <c r="J167" s="248"/>
      <c r="K167" s="246"/>
      <c r="L167" s="67">
        <f t="shared" si="26"/>
        <v>45287</v>
      </c>
    </row>
    <row r="168" spans="1:12" x14ac:dyDescent="0.3">
      <c r="A168" s="32">
        <v>46099</v>
      </c>
      <c r="B168" s="230" t="s">
        <v>505</v>
      </c>
      <c r="C168" s="245"/>
      <c r="D168" s="236"/>
      <c r="E168" s="231">
        <v>420</v>
      </c>
      <c r="F168" s="54">
        <f>+F167+C168+D168-E168</f>
        <v>245</v>
      </c>
      <c r="G168" s="240"/>
      <c r="H168" s="226">
        <v>0</v>
      </c>
      <c r="I168" s="62">
        <f t="shared" si="22"/>
        <v>0</v>
      </c>
      <c r="J168" s="272"/>
      <c r="K168" s="246"/>
      <c r="L168" s="67">
        <f>+L167+J168-K168</f>
        <v>45287</v>
      </c>
    </row>
    <row r="169" spans="1:12" x14ac:dyDescent="0.3">
      <c r="A169" s="32">
        <v>46099</v>
      </c>
      <c r="B169" s="232" t="s">
        <v>506</v>
      </c>
      <c r="C169" s="244">
        <v>420</v>
      </c>
      <c r="D169" s="236"/>
      <c r="E169" s="231"/>
      <c r="F169" s="54">
        <f t="shared" ref="F169:F171" si="27">+F168+C169+D169-E169</f>
        <v>665</v>
      </c>
      <c r="G169" s="241"/>
      <c r="H169" s="226"/>
      <c r="I169" s="62">
        <f t="shared" si="22"/>
        <v>0</v>
      </c>
      <c r="J169" s="229"/>
      <c r="K169" s="246"/>
      <c r="L169" s="67">
        <f t="shared" ref="L169:L171" si="28">+L168+J169-K169</f>
        <v>45287</v>
      </c>
    </row>
    <row r="170" spans="1:12" x14ac:dyDescent="0.3">
      <c r="A170" s="32">
        <v>46099</v>
      </c>
      <c r="B170" s="230" t="s">
        <v>507</v>
      </c>
      <c r="C170" s="245"/>
      <c r="D170" s="237"/>
      <c r="E170" s="231"/>
      <c r="F170" s="54">
        <f t="shared" si="27"/>
        <v>665</v>
      </c>
      <c r="G170" s="241"/>
      <c r="H170" s="226"/>
      <c r="I170" s="62">
        <f t="shared" si="22"/>
        <v>0</v>
      </c>
      <c r="J170" s="130"/>
      <c r="K170" s="246">
        <v>10000</v>
      </c>
      <c r="L170" s="67">
        <f t="shared" si="28"/>
        <v>35287</v>
      </c>
    </row>
    <row r="171" spans="1:12" x14ac:dyDescent="0.3">
      <c r="A171" s="32">
        <v>46099</v>
      </c>
      <c r="B171" s="230" t="s">
        <v>508</v>
      </c>
      <c r="C171" s="245"/>
      <c r="D171" s="237"/>
      <c r="E171" s="231">
        <v>20</v>
      </c>
      <c r="F171" s="107">
        <f t="shared" si="27"/>
        <v>645</v>
      </c>
      <c r="G171" s="241"/>
      <c r="H171" s="280"/>
      <c r="I171" s="62">
        <f t="shared" si="22"/>
        <v>0</v>
      </c>
      <c r="J171" s="37"/>
      <c r="K171" s="246"/>
      <c r="L171" s="67">
        <f t="shared" si="28"/>
        <v>35287</v>
      </c>
    </row>
    <row r="172" spans="1:12" x14ac:dyDescent="0.3">
      <c r="A172" s="32">
        <v>46100</v>
      </c>
      <c r="B172" s="222" t="s">
        <v>23</v>
      </c>
      <c r="C172" s="245"/>
      <c r="D172" s="236"/>
      <c r="E172" s="231">
        <v>300</v>
      </c>
      <c r="F172" s="54">
        <f>+F171+C172+D172-E172</f>
        <v>345</v>
      </c>
      <c r="G172" s="240"/>
      <c r="H172" s="226">
        <v>0</v>
      </c>
      <c r="I172" s="62">
        <f t="shared" si="22"/>
        <v>0</v>
      </c>
      <c r="J172" s="247">
        <v>675000</v>
      </c>
      <c r="K172" s="246"/>
      <c r="L172" s="67">
        <f>+L171+J172-K172</f>
        <v>710287</v>
      </c>
    </row>
    <row r="173" spans="1:12" x14ac:dyDescent="0.3">
      <c r="A173" s="32">
        <v>46100</v>
      </c>
      <c r="B173" s="230" t="s">
        <v>509</v>
      </c>
      <c r="C173" s="244"/>
      <c r="D173" s="236"/>
      <c r="E173" s="231"/>
      <c r="F173" s="54">
        <f t="shared" ref="F173:F177" si="29">+F172+C173+D173-E173</f>
        <v>345</v>
      </c>
      <c r="G173" s="241"/>
      <c r="H173" s="226"/>
      <c r="I173" s="62">
        <f t="shared" si="22"/>
        <v>0</v>
      </c>
      <c r="J173" s="229"/>
      <c r="K173" s="246">
        <v>346001</v>
      </c>
      <c r="L173" s="67">
        <f t="shared" ref="L173:L177" si="30">+L172+J173-K173</f>
        <v>364286</v>
      </c>
    </row>
    <row r="174" spans="1:12" x14ac:dyDescent="0.3">
      <c r="A174" s="32">
        <v>46100</v>
      </c>
      <c r="B174" s="230" t="s">
        <v>510</v>
      </c>
      <c r="C174" s="245"/>
      <c r="D174" s="237"/>
      <c r="E174" s="231"/>
      <c r="F174" s="54">
        <f t="shared" si="29"/>
        <v>345</v>
      </c>
      <c r="G174" s="241"/>
      <c r="H174" s="226"/>
      <c r="I174" s="62">
        <f t="shared" si="22"/>
        <v>0</v>
      </c>
      <c r="J174" s="130"/>
      <c r="K174" s="246">
        <v>195000</v>
      </c>
      <c r="L174" s="67">
        <f t="shared" si="30"/>
        <v>169286</v>
      </c>
    </row>
    <row r="175" spans="1:12" x14ac:dyDescent="0.3">
      <c r="A175" s="32">
        <v>46100</v>
      </c>
      <c r="B175" s="234" t="s">
        <v>471</v>
      </c>
      <c r="C175" s="245"/>
      <c r="D175" s="236">
        <v>1500</v>
      </c>
      <c r="E175" s="231"/>
      <c r="F175" s="54">
        <f t="shared" si="29"/>
        <v>1845</v>
      </c>
      <c r="G175" s="241"/>
      <c r="H175" s="280"/>
      <c r="I175" s="62">
        <f t="shared" si="22"/>
        <v>0</v>
      </c>
      <c r="J175" s="37"/>
      <c r="K175" s="246"/>
      <c r="L175" s="67">
        <f t="shared" si="30"/>
        <v>169286</v>
      </c>
    </row>
    <row r="176" spans="1:12" x14ac:dyDescent="0.3">
      <c r="A176" s="32">
        <v>46100</v>
      </c>
      <c r="B176" s="230" t="s">
        <v>511</v>
      </c>
      <c r="C176" s="244"/>
      <c r="D176" s="236"/>
      <c r="E176" s="231">
        <v>1000</v>
      </c>
      <c r="F176" s="54">
        <f t="shared" si="29"/>
        <v>845</v>
      </c>
      <c r="G176" s="240"/>
      <c r="H176" s="226"/>
      <c r="I176" s="62">
        <f t="shared" si="22"/>
        <v>0</v>
      </c>
      <c r="J176" s="229"/>
      <c r="K176" s="246"/>
      <c r="L176" s="67">
        <f t="shared" si="30"/>
        <v>169286</v>
      </c>
    </row>
    <row r="177" spans="1:12" x14ac:dyDescent="0.3">
      <c r="A177" s="32">
        <v>46100</v>
      </c>
      <c r="B177" s="230" t="s">
        <v>512</v>
      </c>
      <c r="C177" s="244"/>
      <c r="D177" s="236"/>
      <c r="E177" s="231">
        <v>360</v>
      </c>
      <c r="F177" s="107">
        <f t="shared" si="29"/>
        <v>485</v>
      </c>
      <c r="G177" s="240"/>
      <c r="H177" s="226"/>
      <c r="I177" s="62">
        <f t="shared" si="22"/>
        <v>0</v>
      </c>
      <c r="J177" s="271"/>
      <c r="K177" s="246"/>
      <c r="L177" s="67">
        <f t="shared" si="30"/>
        <v>169286</v>
      </c>
    </row>
    <row r="178" spans="1:12" x14ac:dyDescent="0.3">
      <c r="A178" s="32">
        <v>46101</v>
      </c>
      <c r="B178" s="230" t="s">
        <v>17</v>
      </c>
      <c r="C178" s="245"/>
      <c r="D178" s="236"/>
      <c r="E178" s="231">
        <v>60</v>
      </c>
      <c r="F178" s="54">
        <f>+F177+C178+D178-E178</f>
        <v>425</v>
      </c>
      <c r="G178" s="240"/>
      <c r="H178" s="226">
        <v>0</v>
      </c>
      <c r="I178" s="62">
        <f t="shared" si="22"/>
        <v>0</v>
      </c>
      <c r="J178" s="247"/>
      <c r="K178" s="246"/>
      <c r="L178" s="67">
        <f>+L177+J178-K178</f>
        <v>169286</v>
      </c>
    </row>
    <row r="179" spans="1:12" x14ac:dyDescent="0.3">
      <c r="A179" s="32">
        <v>46101</v>
      </c>
      <c r="B179" s="230" t="s">
        <v>48</v>
      </c>
      <c r="C179" s="244"/>
      <c r="D179" s="236"/>
      <c r="E179" s="231">
        <v>70</v>
      </c>
      <c r="F179" s="54">
        <f t="shared" ref="F179:F192" si="31">+F178+C179+D179-E179</f>
        <v>355</v>
      </c>
      <c r="G179" s="241"/>
      <c r="H179" s="226"/>
      <c r="I179" s="62">
        <f t="shared" si="22"/>
        <v>0</v>
      </c>
      <c r="J179" s="229"/>
      <c r="K179" s="246"/>
      <c r="L179" s="67">
        <f t="shared" ref="L179:L192" si="32">+L178+J179-K179</f>
        <v>169286</v>
      </c>
    </row>
    <row r="180" spans="1:12" x14ac:dyDescent="0.3">
      <c r="A180" s="32">
        <v>46101</v>
      </c>
      <c r="B180" s="230" t="s">
        <v>27</v>
      </c>
      <c r="C180" s="245"/>
      <c r="D180" s="237"/>
      <c r="E180" s="231">
        <v>40</v>
      </c>
      <c r="F180" s="54">
        <f t="shared" si="31"/>
        <v>315</v>
      </c>
      <c r="G180" s="241"/>
      <c r="H180" s="226"/>
      <c r="I180" s="62">
        <f t="shared" si="22"/>
        <v>0</v>
      </c>
      <c r="J180" s="130"/>
      <c r="K180" s="246"/>
      <c r="L180" s="67">
        <f t="shared" si="32"/>
        <v>169286</v>
      </c>
    </row>
    <row r="181" spans="1:12" x14ac:dyDescent="0.3">
      <c r="A181" s="32">
        <v>46101</v>
      </c>
      <c r="B181" s="230" t="s">
        <v>513</v>
      </c>
      <c r="C181" s="245"/>
      <c r="D181" s="237"/>
      <c r="E181" s="231">
        <v>66</v>
      </c>
      <c r="F181" s="54">
        <f t="shared" si="31"/>
        <v>249</v>
      </c>
      <c r="G181" s="241"/>
      <c r="H181" s="280"/>
      <c r="I181" s="62">
        <f t="shared" si="22"/>
        <v>0</v>
      </c>
      <c r="J181" s="37"/>
      <c r="K181" s="246"/>
      <c r="L181" s="67">
        <f t="shared" si="32"/>
        <v>169286</v>
      </c>
    </row>
    <row r="182" spans="1:12" x14ac:dyDescent="0.3">
      <c r="A182" s="32">
        <v>46101</v>
      </c>
      <c r="B182" s="230" t="s">
        <v>514</v>
      </c>
      <c r="C182" s="244"/>
      <c r="D182" s="236"/>
      <c r="E182" s="231"/>
      <c r="F182" s="54">
        <f t="shared" si="31"/>
        <v>249</v>
      </c>
      <c r="G182" s="240"/>
      <c r="H182" s="226"/>
      <c r="I182" s="62">
        <f t="shared" si="22"/>
        <v>0</v>
      </c>
      <c r="J182" s="229"/>
      <c r="K182" s="246">
        <v>25000</v>
      </c>
      <c r="L182" s="67">
        <f t="shared" si="32"/>
        <v>144286</v>
      </c>
    </row>
    <row r="183" spans="1:12" x14ac:dyDescent="0.3">
      <c r="A183" s="32">
        <v>46101</v>
      </c>
      <c r="B183" s="230" t="s">
        <v>52</v>
      </c>
      <c r="C183" s="244"/>
      <c r="D183" s="236"/>
      <c r="E183" s="231"/>
      <c r="F183" s="54">
        <f t="shared" si="31"/>
        <v>249</v>
      </c>
      <c r="G183" s="240"/>
      <c r="H183" s="226"/>
      <c r="I183" s="62">
        <f t="shared" si="22"/>
        <v>0</v>
      </c>
      <c r="J183" s="271"/>
      <c r="K183" s="246">
        <v>10000</v>
      </c>
      <c r="L183" s="67">
        <f t="shared" si="32"/>
        <v>134286</v>
      </c>
    </row>
    <row r="184" spans="1:12" x14ac:dyDescent="0.3">
      <c r="A184" s="32">
        <v>46101</v>
      </c>
      <c r="B184" s="234" t="s">
        <v>471</v>
      </c>
      <c r="C184" s="245"/>
      <c r="D184" s="236">
        <v>2000</v>
      </c>
      <c r="E184" s="231"/>
      <c r="F184" s="54">
        <f t="shared" si="31"/>
        <v>2249</v>
      </c>
      <c r="G184" s="240"/>
      <c r="H184" s="228"/>
      <c r="I184" s="62">
        <f t="shared" si="22"/>
        <v>0</v>
      </c>
      <c r="J184" s="266"/>
      <c r="K184" s="246"/>
      <c r="L184" s="67">
        <f t="shared" si="32"/>
        <v>134286</v>
      </c>
    </row>
    <row r="185" spans="1:12" x14ac:dyDescent="0.3">
      <c r="A185" s="32">
        <v>46101</v>
      </c>
      <c r="B185" s="234" t="s">
        <v>493</v>
      </c>
      <c r="C185" s="245"/>
      <c r="D185" s="236">
        <v>1500</v>
      </c>
      <c r="E185" s="231"/>
      <c r="F185" s="54">
        <f t="shared" si="31"/>
        <v>3749</v>
      </c>
      <c r="G185" s="241"/>
      <c r="H185" s="226"/>
      <c r="I185" s="62">
        <f t="shared" si="22"/>
        <v>0</v>
      </c>
      <c r="J185" s="233"/>
      <c r="K185" s="246"/>
      <c r="L185" s="67">
        <f t="shared" si="32"/>
        <v>134286</v>
      </c>
    </row>
    <row r="186" spans="1:12" x14ac:dyDescent="0.3">
      <c r="A186" s="32">
        <v>46101</v>
      </c>
      <c r="B186" s="230" t="s">
        <v>515</v>
      </c>
      <c r="C186" s="245"/>
      <c r="D186" s="236"/>
      <c r="E186" s="231">
        <v>300</v>
      </c>
      <c r="F186" s="54">
        <f t="shared" si="31"/>
        <v>3449</v>
      </c>
      <c r="G186" s="240"/>
      <c r="H186" s="226"/>
      <c r="I186" s="62">
        <f t="shared" si="22"/>
        <v>0</v>
      </c>
      <c r="J186" s="264"/>
      <c r="K186" s="246"/>
      <c r="L186" s="67">
        <f t="shared" si="32"/>
        <v>134286</v>
      </c>
    </row>
    <row r="187" spans="1:12" x14ac:dyDescent="0.3">
      <c r="A187" s="32">
        <v>46101</v>
      </c>
      <c r="B187" s="230" t="s">
        <v>516</v>
      </c>
      <c r="C187" s="244"/>
      <c r="D187" s="236"/>
      <c r="E187" s="231">
        <v>930</v>
      </c>
      <c r="F187" s="54">
        <f t="shared" si="31"/>
        <v>2519</v>
      </c>
      <c r="G187" s="240"/>
      <c r="H187" s="226"/>
      <c r="I187" s="62">
        <f t="shared" si="22"/>
        <v>0</v>
      </c>
      <c r="J187" s="264"/>
      <c r="K187" s="246"/>
      <c r="L187" s="67">
        <f t="shared" si="32"/>
        <v>134286</v>
      </c>
    </row>
    <row r="188" spans="1:12" x14ac:dyDescent="0.3">
      <c r="A188" s="32">
        <v>46101</v>
      </c>
      <c r="B188" s="230" t="s">
        <v>517</v>
      </c>
      <c r="C188" s="244"/>
      <c r="D188" s="236"/>
      <c r="E188" s="231">
        <v>428</v>
      </c>
      <c r="F188" s="54">
        <f t="shared" si="31"/>
        <v>2091</v>
      </c>
      <c r="G188" s="240"/>
      <c r="H188" s="226"/>
      <c r="I188" s="62">
        <f t="shared" si="22"/>
        <v>0</v>
      </c>
      <c r="J188" s="248"/>
      <c r="K188" s="246"/>
      <c r="L188" s="67">
        <f t="shared" si="32"/>
        <v>134286</v>
      </c>
    </row>
    <row r="189" spans="1:12" x14ac:dyDescent="0.3">
      <c r="A189" s="32">
        <v>46101</v>
      </c>
      <c r="B189" s="230" t="s">
        <v>518</v>
      </c>
      <c r="C189" s="244"/>
      <c r="D189" s="237"/>
      <c r="E189" s="231">
        <v>600</v>
      </c>
      <c r="F189" s="54">
        <f t="shared" si="31"/>
        <v>1491</v>
      </c>
      <c r="G189" s="240"/>
      <c r="H189" s="226"/>
      <c r="I189" s="62">
        <f t="shared" si="22"/>
        <v>0</v>
      </c>
      <c r="J189" s="130"/>
      <c r="K189" s="246"/>
      <c r="L189" s="67">
        <f t="shared" si="32"/>
        <v>134286</v>
      </c>
    </row>
    <row r="190" spans="1:12" x14ac:dyDescent="0.3">
      <c r="A190" s="32">
        <v>46101</v>
      </c>
      <c r="B190" s="232" t="s">
        <v>519</v>
      </c>
      <c r="C190" s="244"/>
      <c r="D190" s="236"/>
      <c r="E190" s="231">
        <v>200</v>
      </c>
      <c r="F190" s="54">
        <f t="shared" si="31"/>
        <v>1291</v>
      </c>
      <c r="G190" s="241"/>
      <c r="H190" s="226"/>
      <c r="I190" s="62">
        <f t="shared" si="22"/>
        <v>0</v>
      </c>
      <c r="J190" s="271"/>
      <c r="K190" s="246"/>
      <c r="L190" s="67">
        <f t="shared" si="32"/>
        <v>134286</v>
      </c>
    </row>
    <row r="191" spans="1:12" x14ac:dyDescent="0.3">
      <c r="A191" s="32">
        <v>46101</v>
      </c>
      <c r="B191" s="222" t="s">
        <v>23</v>
      </c>
      <c r="C191" s="244"/>
      <c r="D191" s="237"/>
      <c r="E191" s="231">
        <v>200</v>
      </c>
      <c r="F191" s="54">
        <f t="shared" si="31"/>
        <v>1091</v>
      </c>
      <c r="G191" s="241"/>
      <c r="H191" s="226"/>
      <c r="I191" s="62">
        <f t="shared" si="22"/>
        <v>0</v>
      </c>
      <c r="J191" s="248">
        <v>445000</v>
      </c>
      <c r="K191" s="246"/>
      <c r="L191" s="67">
        <f t="shared" si="32"/>
        <v>579286</v>
      </c>
    </row>
    <row r="192" spans="1:12" x14ac:dyDescent="0.3">
      <c r="A192" s="32">
        <v>46101</v>
      </c>
      <c r="B192" s="230" t="s">
        <v>520</v>
      </c>
      <c r="C192" s="239"/>
      <c r="D192" s="237"/>
      <c r="E192" s="231"/>
      <c r="F192" s="107">
        <f t="shared" si="31"/>
        <v>1091</v>
      </c>
      <c r="G192" s="242"/>
      <c r="H192" s="227"/>
      <c r="I192" s="62">
        <f t="shared" si="22"/>
        <v>0</v>
      </c>
      <c r="J192" s="37"/>
      <c r="K192" s="246">
        <v>505500</v>
      </c>
      <c r="L192" s="67">
        <f t="shared" si="32"/>
        <v>73786</v>
      </c>
    </row>
    <row r="193" spans="1:12" x14ac:dyDescent="0.3">
      <c r="A193" s="32">
        <v>46102</v>
      </c>
      <c r="B193" s="230" t="s">
        <v>521</v>
      </c>
      <c r="C193" s="245"/>
      <c r="D193" s="236"/>
      <c r="E193" s="231">
        <v>240</v>
      </c>
      <c r="F193" s="54">
        <f>+F192+C193+D193-E193</f>
        <v>851</v>
      </c>
      <c r="G193" s="240"/>
      <c r="H193" s="226">
        <v>0</v>
      </c>
      <c r="I193" s="62">
        <f t="shared" si="22"/>
        <v>0</v>
      </c>
      <c r="J193" s="247"/>
      <c r="K193" s="246">
        <v>15000</v>
      </c>
      <c r="L193" s="67">
        <f>+L192+J193-K193</f>
        <v>58786</v>
      </c>
    </row>
    <row r="194" spans="1:12" x14ac:dyDescent="0.3">
      <c r="A194" s="32">
        <v>46102</v>
      </c>
      <c r="B194" s="230" t="s">
        <v>522</v>
      </c>
      <c r="C194" s="244"/>
      <c r="D194" s="236"/>
      <c r="E194" s="231">
        <v>70</v>
      </c>
      <c r="F194" s="107">
        <f t="shared" ref="F194" si="33">+F193+C194+D194-E194</f>
        <v>781</v>
      </c>
      <c r="G194" s="241"/>
      <c r="H194" s="226"/>
      <c r="I194" s="62">
        <f t="shared" si="22"/>
        <v>0</v>
      </c>
      <c r="J194" s="229"/>
      <c r="K194" s="246"/>
      <c r="L194" s="67">
        <f t="shared" ref="L194" si="34">+L193+J194-K194</f>
        <v>58786</v>
      </c>
    </row>
    <row r="195" spans="1:12" x14ac:dyDescent="0.3">
      <c r="A195" s="32">
        <v>46104</v>
      </c>
      <c r="B195" s="230" t="s">
        <v>70</v>
      </c>
      <c r="C195" s="245"/>
      <c r="D195" s="236"/>
      <c r="E195" s="231">
        <v>60</v>
      </c>
      <c r="F195" s="54">
        <f>+F194+C195+D195-E195</f>
        <v>721</v>
      </c>
      <c r="G195" s="240"/>
      <c r="H195" s="226">
        <v>0</v>
      </c>
      <c r="I195" s="62">
        <f t="shared" si="22"/>
        <v>0</v>
      </c>
      <c r="J195" s="247"/>
      <c r="K195" s="246"/>
      <c r="L195" s="67">
        <f>+L194+J195-K195</f>
        <v>58786</v>
      </c>
    </row>
    <row r="196" spans="1:12" x14ac:dyDescent="0.3">
      <c r="A196" s="32">
        <v>46104</v>
      </c>
      <c r="B196" s="230" t="s">
        <v>20</v>
      </c>
      <c r="C196" s="244"/>
      <c r="D196" s="236"/>
      <c r="E196" s="231">
        <v>100</v>
      </c>
      <c r="F196" s="54">
        <f t="shared" ref="F196:F203" si="35">+F195+C196+D196-E196</f>
        <v>621</v>
      </c>
      <c r="G196" s="241"/>
      <c r="H196" s="226"/>
      <c r="I196" s="62">
        <f t="shared" si="22"/>
        <v>0</v>
      </c>
      <c r="J196" s="229"/>
      <c r="K196" s="246"/>
      <c r="L196" s="67">
        <f t="shared" ref="L196:L203" si="36">+L195+J196-K196</f>
        <v>58786</v>
      </c>
    </row>
    <row r="197" spans="1:12" x14ac:dyDescent="0.3">
      <c r="A197" s="32">
        <v>46104</v>
      </c>
      <c r="B197" s="230" t="s">
        <v>36</v>
      </c>
      <c r="C197" s="245"/>
      <c r="D197" s="237"/>
      <c r="E197" s="231">
        <v>50</v>
      </c>
      <c r="F197" s="54">
        <f t="shared" si="35"/>
        <v>571</v>
      </c>
      <c r="G197" s="241"/>
      <c r="H197" s="226"/>
      <c r="I197" s="62">
        <f t="shared" si="22"/>
        <v>0</v>
      </c>
      <c r="J197" s="130"/>
      <c r="K197" s="246"/>
      <c r="L197" s="67">
        <f t="shared" si="36"/>
        <v>58786</v>
      </c>
    </row>
    <row r="198" spans="1:12" x14ac:dyDescent="0.3">
      <c r="A198" s="32">
        <v>46104</v>
      </c>
      <c r="B198" s="230" t="s">
        <v>523</v>
      </c>
      <c r="C198" s="245"/>
      <c r="D198" s="237"/>
      <c r="E198" s="231">
        <v>70</v>
      </c>
      <c r="F198" s="54">
        <f t="shared" si="35"/>
        <v>501</v>
      </c>
      <c r="G198" s="241"/>
      <c r="H198" s="280"/>
      <c r="I198" s="62">
        <f t="shared" ref="I198:I262" si="37">+I197+G198-H198</f>
        <v>0</v>
      </c>
      <c r="J198" s="37"/>
      <c r="K198" s="246"/>
      <c r="L198" s="67">
        <f t="shared" si="36"/>
        <v>58786</v>
      </c>
    </row>
    <row r="199" spans="1:12" x14ac:dyDescent="0.3">
      <c r="A199" s="32">
        <v>46104</v>
      </c>
      <c r="B199" s="230" t="s">
        <v>524</v>
      </c>
      <c r="C199" s="244"/>
      <c r="D199" s="236"/>
      <c r="E199" s="231">
        <v>10</v>
      </c>
      <c r="F199" s="54">
        <f t="shared" si="35"/>
        <v>491</v>
      </c>
      <c r="G199" s="240"/>
      <c r="H199" s="226"/>
      <c r="I199" s="62">
        <f t="shared" si="37"/>
        <v>0</v>
      </c>
      <c r="J199" s="229"/>
      <c r="K199" s="246"/>
      <c r="L199" s="67">
        <f t="shared" si="36"/>
        <v>58786</v>
      </c>
    </row>
    <row r="200" spans="1:12" x14ac:dyDescent="0.3">
      <c r="A200" s="32">
        <v>46104</v>
      </c>
      <c r="B200" s="230" t="s">
        <v>28</v>
      </c>
      <c r="C200" s="244"/>
      <c r="D200" s="236"/>
      <c r="E200" s="231">
        <v>50</v>
      </c>
      <c r="F200" s="54">
        <f t="shared" si="35"/>
        <v>441</v>
      </c>
      <c r="G200" s="240"/>
      <c r="H200" s="226"/>
      <c r="I200" s="62">
        <f t="shared" si="37"/>
        <v>0</v>
      </c>
      <c r="J200" s="271"/>
      <c r="K200" s="246"/>
      <c r="L200" s="67">
        <f t="shared" si="36"/>
        <v>58786</v>
      </c>
    </row>
    <row r="201" spans="1:12" x14ac:dyDescent="0.3">
      <c r="A201" s="32">
        <v>46104</v>
      </c>
      <c r="B201" s="230" t="s">
        <v>91</v>
      </c>
      <c r="C201" s="245"/>
      <c r="D201" s="236"/>
      <c r="E201" s="231">
        <v>80</v>
      </c>
      <c r="F201" s="54">
        <f t="shared" si="35"/>
        <v>361</v>
      </c>
      <c r="G201" s="240"/>
      <c r="H201" s="228"/>
      <c r="I201" s="62">
        <f t="shared" si="37"/>
        <v>0</v>
      </c>
      <c r="J201" s="266"/>
      <c r="K201" s="246"/>
      <c r="L201" s="67">
        <f t="shared" si="36"/>
        <v>58786</v>
      </c>
    </row>
    <row r="202" spans="1:12" x14ac:dyDescent="0.3">
      <c r="A202" s="32">
        <v>46104</v>
      </c>
      <c r="B202" s="230" t="s">
        <v>25</v>
      </c>
      <c r="C202" s="245"/>
      <c r="D202" s="236"/>
      <c r="E202" s="231">
        <v>20</v>
      </c>
      <c r="F202" s="54">
        <f t="shared" si="35"/>
        <v>341</v>
      </c>
      <c r="G202" s="241"/>
      <c r="H202" s="226"/>
      <c r="I202" s="62">
        <f t="shared" si="37"/>
        <v>0</v>
      </c>
      <c r="J202" s="233"/>
      <c r="K202" s="246"/>
      <c r="L202" s="67">
        <f t="shared" si="36"/>
        <v>58786</v>
      </c>
    </row>
    <row r="203" spans="1:12" x14ac:dyDescent="0.3">
      <c r="A203" s="32">
        <v>46104</v>
      </c>
      <c r="B203" s="230" t="s">
        <v>292</v>
      </c>
      <c r="C203" s="245"/>
      <c r="D203" s="236"/>
      <c r="E203" s="231">
        <v>40</v>
      </c>
      <c r="F203" s="107">
        <f t="shared" si="35"/>
        <v>301</v>
      </c>
      <c r="G203" s="240"/>
      <c r="H203" s="226"/>
      <c r="I203" s="62">
        <f t="shared" si="37"/>
        <v>0</v>
      </c>
      <c r="J203" s="264"/>
      <c r="K203" s="246"/>
      <c r="L203" s="67">
        <f t="shared" si="36"/>
        <v>58786</v>
      </c>
    </row>
    <row r="204" spans="1:12" x14ac:dyDescent="0.3">
      <c r="A204" s="32">
        <v>46105</v>
      </c>
      <c r="B204" s="234" t="s">
        <v>525</v>
      </c>
      <c r="C204" s="245"/>
      <c r="D204" s="236">
        <v>9900</v>
      </c>
      <c r="E204" s="231"/>
      <c r="F204" s="54">
        <f>+F203+C204+D204-E204</f>
        <v>10201</v>
      </c>
      <c r="G204" s="240"/>
      <c r="H204" s="226">
        <v>0</v>
      </c>
      <c r="I204" s="62">
        <f t="shared" si="37"/>
        <v>0</v>
      </c>
      <c r="J204" s="247"/>
      <c r="K204" s="246"/>
      <c r="L204" s="67">
        <f>+L203+J204-K204</f>
        <v>58786</v>
      </c>
    </row>
    <row r="205" spans="1:12" x14ac:dyDescent="0.3">
      <c r="A205" s="32">
        <v>46105</v>
      </c>
      <c r="B205" s="234" t="s">
        <v>16</v>
      </c>
      <c r="C205" s="244"/>
      <c r="D205" s="236">
        <v>9900</v>
      </c>
      <c r="E205" s="231"/>
      <c r="F205" s="54">
        <f t="shared" ref="F205:F213" si="38">+F204+C205+D205-E205</f>
        <v>20101</v>
      </c>
      <c r="G205" s="241"/>
      <c r="H205" s="226"/>
      <c r="I205" s="62">
        <f t="shared" si="37"/>
        <v>0</v>
      </c>
      <c r="J205" s="229"/>
      <c r="K205" s="246"/>
      <c r="L205" s="67">
        <f t="shared" ref="L205:L213" si="39">+L204+J205-K205</f>
        <v>58786</v>
      </c>
    </row>
    <row r="206" spans="1:12" x14ac:dyDescent="0.3">
      <c r="A206" s="32">
        <v>46105</v>
      </c>
      <c r="B206" s="232" t="s">
        <v>526</v>
      </c>
      <c r="C206" s="244">
        <v>240</v>
      </c>
      <c r="D206" s="237"/>
      <c r="E206" s="231"/>
      <c r="F206" s="54">
        <f t="shared" si="38"/>
        <v>20341</v>
      </c>
      <c r="G206" s="241"/>
      <c r="H206" s="226"/>
      <c r="I206" s="62">
        <f t="shared" si="37"/>
        <v>0</v>
      </c>
      <c r="J206" s="248">
        <v>8000</v>
      </c>
      <c r="K206" s="246"/>
      <c r="L206" s="67">
        <f t="shared" si="39"/>
        <v>66786</v>
      </c>
    </row>
    <row r="207" spans="1:12" x14ac:dyDescent="0.3">
      <c r="A207" s="32">
        <v>46105</v>
      </c>
      <c r="B207" s="232" t="s">
        <v>527</v>
      </c>
      <c r="C207" s="244">
        <v>250</v>
      </c>
      <c r="D207" s="237"/>
      <c r="E207" s="231"/>
      <c r="F207" s="54">
        <f t="shared" si="38"/>
        <v>20591</v>
      </c>
      <c r="G207" s="241"/>
      <c r="H207" s="280"/>
      <c r="I207" s="62">
        <f t="shared" si="37"/>
        <v>0</v>
      </c>
      <c r="J207" s="37"/>
      <c r="K207" s="246"/>
      <c r="L207" s="67">
        <f t="shared" si="39"/>
        <v>66786</v>
      </c>
    </row>
    <row r="208" spans="1:12" x14ac:dyDescent="0.3">
      <c r="A208" s="32">
        <v>46105</v>
      </c>
      <c r="B208" s="230" t="s">
        <v>528</v>
      </c>
      <c r="C208" s="244"/>
      <c r="D208" s="236"/>
      <c r="E208" s="231"/>
      <c r="F208" s="54">
        <f t="shared" si="38"/>
        <v>20591</v>
      </c>
      <c r="G208" s="240"/>
      <c r="H208" s="226"/>
      <c r="I208" s="62">
        <f t="shared" si="37"/>
        <v>0</v>
      </c>
      <c r="J208" s="229"/>
      <c r="K208" s="246">
        <v>10000</v>
      </c>
      <c r="L208" s="67">
        <f t="shared" si="39"/>
        <v>56786</v>
      </c>
    </row>
    <row r="209" spans="1:12" x14ac:dyDescent="0.3">
      <c r="A209" s="32">
        <v>46105</v>
      </c>
      <c r="B209" s="230" t="s">
        <v>529</v>
      </c>
      <c r="C209" s="244"/>
      <c r="D209" s="236"/>
      <c r="E209" s="231">
        <v>350</v>
      </c>
      <c r="F209" s="54">
        <f t="shared" si="38"/>
        <v>20241</v>
      </c>
      <c r="G209" s="240"/>
      <c r="H209" s="226"/>
      <c r="I209" s="62">
        <f t="shared" si="37"/>
        <v>0</v>
      </c>
      <c r="J209" s="271"/>
      <c r="K209" s="246"/>
      <c r="L209" s="67">
        <f t="shared" si="39"/>
        <v>56786</v>
      </c>
    </row>
    <row r="210" spans="1:12" x14ac:dyDescent="0.3">
      <c r="A210" s="32">
        <v>46105</v>
      </c>
      <c r="B210" s="230" t="s">
        <v>530</v>
      </c>
      <c r="C210" s="245"/>
      <c r="D210" s="236"/>
      <c r="E210" s="231">
        <v>200</v>
      </c>
      <c r="F210" s="54">
        <f t="shared" si="38"/>
        <v>20041</v>
      </c>
      <c r="G210" s="240"/>
      <c r="H210" s="228"/>
      <c r="I210" s="62">
        <f t="shared" si="37"/>
        <v>0</v>
      </c>
      <c r="J210" s="266"/>
      <c r="K210" s="246"/>
      <c r="L210" s="67">
        <f t="shared" si="39"/>
        <v>56786</v>
      </c>
    </row>
    <row r="211" spans="1:12" x14ac:dyDescent="0.3">
      <c r="A211" s="32">
        <v>46105</v>
      </c>
      <c r="B211" s="230" t="s">
        <v>531</v>
      </c>
      <c r="C211" s="245"/>
      <c r="D211" s="236"/>
      <c r="E211" s="231">
        <v>25</v>
      </c>
      <c r="F211" s="54">
        <f t="shared" si="38"/>
        <v>20016</v>
      </c>
      <c r="G211" s="241"/>
      <c r="H211" s="226"/>
      <c r="I211" s="62">
        <f t="shared" si="37"/>
        <v>0</v>
      </c>
      <c r="J211" s="233"/>
      <c r="K211" s="246"/>
      <c r="L211" s="67">
        <f t="shared" si="39"/>
        <v>56786</v>
      </c>
    </row>
    <row r="212" spans="1:12" x14ac:dyDescent="0.3">
      <c r="A212" s="32">
        <v>46105</v>
      </c>
      <c r="B212" s="230" t="s">
        <v>532</v>
      </c>
      <c r="C212" s="245"/>
      <c r="D212" s="236"/>
      <c r="E212" s="231">
        <v>240</v>
      </c>
      <c r="F212" s="54">
        <f t="shared" si="38"/>
        <v>19776</v>
      </c>
      <c r="G212" s="240"/>
      <c r="H212" s="226"/>
      <c r="I212" s="62">
        <f t="shared" si="37"/>
        <v>0</v>
      </c>
      <c r="J212" s="264"/>
      <c r="K212" s="246"/>
      <c r="L212" s="67">
        <f t="shared" si="39"/>
        <v>56786</v>
      </c>
    </row>
    <row r="213" spans="1:12" x14ac:dyDescent="0.3">
      <c r="A213" s="32">
        <v>46105</v>
      </c>
      <c r="B213" s="230" t="s">
        <v>533</v>
      </c>
      <c r="C213" s="244"/>
      <c r="D213" s="236"/>
      <c r="E213" s="231">
        <v>300</v>
      </c>
      <c r="F213" s="107">
        <f t="shared" si="38"/>
        <v>19476</v>
      </c>
      <c r="G213" s="240"/>
      <c r="H213" s="226"/>
      <c r="I213" s="62">
        <f t="shared" si="37"/>
        <v>0</v>
      </c>
      <c r="J213" s="264"/>
      <c r="K213" s="246"/>
      <c r="L213" s="67">
        <f t="shared" si="39"/>
        <v>56786</v>
      </c>
    </row>
    <row r="214" spans="1:12" x14ac:dyDescent="0.3">
      <c r="A214" s="32">
        <v>46106</v>
      </c>
      <c r="B214" s="234" t="s">
        <v>16</v>
      </c>
      <c r="C214" s="244"/>
      <c r="D214" s="236">
        <v>9900</v>
      </c>
      <c r="E214" s="231"/>
      <c r="F214" s="54">
        <f>+F213+C214+D214-E214</f>
        <v>29376</v>
      </c>
      <c r="G214" s="240"/>
      <c r="H214" s="226">
        <v>0</v>
      </c>
      <c r="I214" s="62">
        <f t="shared" si="37"/>
        <v>0</v>
      </c>
      <c r="J214" s="247"/>
      <c r="K214" s="246"/>
      <c r="L214" s="67">
        <f>+L213+J214-K214</f>
        <v>56786</v>
      </c>
    </row>
    <row r="215" spans="1:12" x14ac:dyDescent="0.3">
      <c r="A215" s="32">
        <v>46106</v>
      </c>
      <c r="B215" s="230" t="s">
        <v>27</v>
      </c>
      <c r="C215" s="244"/>
      <c r="D215" s="236"/>
      <c r="E215" s="231">
        <v>40</v>
      </c>
      <c r="F215" s="54">
        <f t="shared" ref="F215:F224" si="40">+F214+C215+D215-E215</f>
        <v>29336</v>
      </c>
      <c r="G215" s="241"/>
      <c r="H215" s="226"/>
      <c r="I215" s="62">
        <f t="shared" si="37"/>
        <v>0</v>
      </c>
      <c r="J215" s="229"/>
      <c r="K215" s="246"/>
      <c r="L215" s="67">
        <f t="shared" ref="L215:L221" si="41">+L214+J215-K215</f>
        <v>56786</v>
      </c>
    </row>
    <row r="216" spans="1:12" x14ac:dyDescent="0.3">
      <c r="A216" s="32">
        <v>46106</v>
      </c>
      <c r="B216" s="230" t="s">
        <v>48</v>
      </c>
      <c r="C216" s="244"/>
      <c r="D216" s="237"/>
      <c r="E216" s="231">
        <v>70</v>
      </c>
      <c r="F216" s="54">
        <f t="shared" si="40"/>
        <v>29266</v>
      </c>
      <c r="G216" s="241"/>
      <c r="H216" s="226"/>
      <c r="I216" s="62">
        <f t="shared" si="37"/>
        <v>0</v>
      </c>
      <c r="J216" s="248"/>
      <c r="K216" s="246"/>
      <c r="L216" s="67">
        <f t="shared" si="41"/>
        <v>56786</v>
      </c>
    </row>
    <row r="217" spans="1:12" x14ac:dyDescent="0.3">
      <c r="A217" s="32">
        <v>46106</v>
      </c>
      <c r="B217" s="230" t="s">
        <v>534</v>
      </c>
      <c r="C217" s="244"/>
      <c r="D217" s="237"/>
      <c r="E217" s="231">
        <v>300</v>
      </c>
      <c r="F217" s="54">
        <f t="shared" si="40"/>
        <v>28966</v>
      </c>
      <c r="G217" s="241"/>
      <c r="H217" s="280"/>
      <c r="I217" s="62">
        <f t="shared" si="37"/>
        <v>0</v>
      </c>
      <c r="J217" s="37"/>
      <c r="K217" s="246"/>
      <c r="L217" s="67">
        <f t="shared" si="41"/>
        <v>56786</v>
      </c>
    </row>
    <row r="218" spans="1:12" x14ac:dyDescent="0.3">
      <c r="A218" s="32">
        <v>46106</v>
      </c>
      <c r="B218" s="230" t="s">
        <v>535</v>
      </c>
      <c r="C218" s="244"/>
      <c r="D218" s="236"/>
      <c r="E218" s="231">
        <v>50</v>
      </c>
      <c r="F218" s="54">
        <f t="shared" si="40"/>
        <v>28916</v>
      </c>
      <c r="G218" s="240"/>
      <c r="H218" s="226"/>
      <c r="I218" s="62">
        <f t="shared" si="37"/>
        <v>0</v>
      </c>
      <c r="J218" s="229"/>
      <c r="K218" s="246"/>
      <c r="L218" s="67">
        <f t="shared" si="41"/>
        <v>56786</v>
      </c>
    </row>
    <row r="219" spans="1:12" x14ac:dyDescent="0.3">
      <c r="A219" s="32">
        <v>46106</v>
      </c>
      <c r="B219" s="222" t="s">
        <v>23</v>
      </c>
      <c r="C219" s="244"/>
      <c r="D219" s="236"/>
      <c r="E219" s="224">
        <v>28000</v>
      </c>
      <c r="F219" s="54">
        <f t="shared" si="40"/>
        <v>916</v>
      </c>
      <c r="G219" s="240"/>
      <c r="H219" s="226"/>
      <c r="I219" s="62">
        <f t="shared" si="37"/>
        <v>0</v>
      </c>
      <c r="J219" s="271">
        <v>63700000</v>
      </c>
      <c r="K219" s="246"/>
      <c r="L219" s="67">
        <f t="shared" si="41"/>
        <v>63756786</v>
      </c>
    </row>
    <row r="220" spans="1:12" x14ac:dyDescent="0.3">
      <c r="A220" s="32">
        <v>46106</v>
      </c>
      <c r="B220" s="230" t="s">
        <v>536</v>
      </c>
      <c r="C220" s="245"/>
      <c r="D220" s="236"/>
      <c r="E220" s="231"/>
      <c r="F220" s="54">
        <f t="shared" si="40"/>
        <v>916</v>
      </c>
      <c r="G220" s="240"/>
      <c r="H220" s="228"/>
      <c r="I220" s="62">
        <f t="shared" si="37"/>
        <v>0</v>
      </c>
      <c r="J220" s="266"/>
      <c r="K220" s="246">
        <v>80000</v>
      </c>
      <c r="L220" s="67">
        <f t="shared" si="41"/>
        <v>63676786</v>
      </c>
    </row>
    <row r="221" spans="1:12" x14ac:dyDescent="0.3">
      <c r="A221" s="32">
        <v>46106</v>
      </c>
      <c r="B221" s="232" t="s">
        <v>537</v>
      </c>
      <c r="C221" s="244">
        <v>210</v>
      </c>
      <c r="D221" s="236"/>
      <c r="E221" s="231"/>
      <c r="F221" s="54">
        <f t="shared" si="40"/>
        <v>1126</v>
      </c>
      <c r="G221" s="241"/>
      <c r="H221" s="226"/>
      <c r="I221" s="62">
        <f t="shared" si="37"/>
        <v>0</v>
      </c>
      <c r="J221" s="248">
        <v>20500</v>
      </c>
      <c r="K221" s="246"/>
      <c r="L221" s="67">
        <f t="shared" si="41"/>
        <v>63697286</v>
      </c>
    </row>
    <row r="222" spans="1:12" x14ac:dyDescent="0.3">
      <c r="A222" s="32">
        <v>46106</v>
      </c>
      <c r="B222" s="230" t="s">
        <v>771</v>
      </c>
      <c r="C222" s="244"/>
      <c r="D222" s="236"/>
      <c r="E222" s="231">
        <v>133</v>
      </c>
      <c r="F222" s="107">
        <f t="shared" si="40"/>
        <v>993</v>
      </c>
      <c r="G222" s="241"/>
      <c r="H222" s="226"/>
      <c r="I222" s="62"/>
      <c r="J222" s="248"/>
      <c r="K222" s="246"/>
      <c r="L222" s="67"/>
    </row>
    <row r="223" spans="1:12" x14ac:dyDescent="0.3">
      <c r="A223" s="32">
        <v>46107</v>
      </c>
      <c r="B223" s="234" t="s">
        <v>538</v>
      </c>
      <c r="C223" s="244"/>
      <c r="D223" s="236">
        <v>1300</v>
      </c>
      <c r="E223" s="231"/>
      <c r="F223" s="107">
        <f t="shared" si="40"/>
        <v>2293</v>
      </c>
      <c r="G223" s="240"/>
      <c r="H223" s="226">
        <v>0</v>
      </c>
      <c r="I223" s="62">
        <f>+I221+G223-H223</f>
        <v>0</v>
      </c>
      <c r="J223" s="247"/>
      <c r="K223" s="246"/>
      <c r="L223" s="67">
        <f>+L221+J223-K223</f>
        <v>63697286</v>
      </c>
    </row>
    <row r="224" spans="1:12" x14ac:dyDescent="0.3">
      <c r="A224" s="32">
        <v>46107</v>
      </c>
      <c r="B224" s="230" t="s">
        <v>539</v>
      </c>
      <c r="C224" s="244"/>
      <c r="D224" s="236"/>
      <c r="E224" s="231">
        <v>1300</v>
      </c>
      <c r="F224" s="107">
        <f t="shared" si="40"/>
        <v>993</v>
      </c>
      <c r="G224" s="241"/>
      <c r="H224" s="226"/>
      <c r="I224" s="62">
        <f t="shared" si="37"/>
        <v>0</v>
      </c>
      <c r="J224" s="229"/>
      <c r="K224" s="246">
        <v>12000</v>
      </c>
      <c r="L224" s="67">
        <f t="shared" ref="L224:L229" si="42">+L223+J224-K224</f>
        <v>63685286</v>
      </c>
    </row>
    <row r="225" spans="1:12" x14ac:dyDescent="0.3">
      <c r="A225" s="32">
        <v>46107</v>
      </c>
      <c r="B225" s="230" t="s">
        <v>58</v>
      </c>
      <c r="C225" s="244"/>
      <c r="D225" s="237"/>
      <c r="E225" s="231">
        <v>50</v>
      </c>
      <c r="F225" s="54">
        <f t="shared" ref="F225:F229" si="43">+F224+C225+D225-E225</f>
        <v>943</v>
      </c>
      <c r="G225" s="241"/>
      <c r="H225" s="226"/>
      <c r="I225" s="62">
        <f t="shared" si="37"/>
        <v>0</v>
      </c>
      <c r="J225" s="248"/>
      <c r="K225" s="246"/>
      <c r="L225" s="67">
        <f t="shared" si="42"/>
        <v>63685286</v>
      </c>
    </row>
    <row r="226" spans="1:12" x14ac:dyDescent="0.3">
      <c r="A226" s="32">
        <v>46107</v>
      </c>
      <c r="B226" s="230" t="s">
        <v>540</v>
      </c>
      <c r="C226" s="244"/>
      <c r="D226" s="237"/>
      <c r="E226" s="231"/>
      <c r="F226" s="54">
        <f t="shared" si="43"/>
        <v>943</v>
      </c>
      <c r="G226" s="241"/>
      <c r="H226" s="280"/>
      <c r="I226" s="62">
        <f t="shared" si="37"/>
        <v>0</v>
      </c>
      <c r="J226" s="37"/>
      <c r="K226" s="246">
        <v>424000</v>
      </c>
      <c r="L226" s="67">
        <f t="shared" si="42"/>
        <v>63261286</v>
      </c>
    </row>
    <row r="227" spans="1:12" x14ac:dyDescent="0.3">
      <c r="A227" s="32">
        <v>46107</v>
      </c>
      <c r="B227" s="230" t="s">
        <v>541</v>
      </c>
      <c r="C227" s="244"/>
      <c r="D227" s="236"/>
      <c r="E227" s="231">
        <v>406</v>
      </c>
      <c r="F227" s="54">
        <f t="shared" si="43"/>
        <v>537</v>
      </c>
      <c r="G227" s="240"/>
      <c r="H227" s="226"/>
      <c r="I227" s="62">
        <f t="shared" si="37"/>
        <v>0</v>
      </c>
      <c r="J227" s="229"/>
      <c r="K227" s="246"/>
      <c r="L227" s="67">
        <f t="shared" si="42"/>
        <v>63261286</v>
      </c>
    </row>
    <row r="228" spans="1:12" x14ac:dyDescent="0.3">
      <c r="A228" s="32">
        <v>46107</v>
      </c>
      <c r="B228" s="230" t="s">
        <v>542</v>
      </c>
      <c r="C228" s="244"/>
      <c r="D228" s="236"/>
      <c r="E228" s="231">
        <v>263</v>
      </c>
      <c r="F228" s="54">
        <f t="shared" si="43"/>
        <v>274</v>
      </c>
      <c r="G228" s="240"/>
      <c r="H228" s="226"/>
      <c r="I228" s="62">
        <f t="shared" si="37"/>
        <v>0</v>
      </c>
      <c r="J228" s="271"/>
      <c r="K228" s="246"/>
      <c r="L228" s="67">
        <f t="shared" si="42"/>
        <v>63261286</v>
      </c>
    </row>
    <row r="229" spans="1:12" x14ac:dyDescent="0.3">
      <c r="A229" s="32">
        <v>46107</v>
      </c>
      <c r="B229" s="230" t="s">
        <v>543</v>
      </c>
      <c r="C229" s="245"/>
      <c r="D229" s="236"/>
      <c r="E229" s="231">
        <v>18</v>
      </c>
      <c r="F229" s="107">
        <f t="shared" si="43"/>
        <v>256</v>
      </c>
      <c r="G229" s="240"/>
      <c r="H229" s="228"/>
      <c r="I229" s="62">
        <f t="shared" si="37"/>
        <v>0</v>
      </c>
      <c r="J229" s="266"/>
      <c r="K229" s="246"/>
      <c r="L229" s="67">
        <f t="shared" si="42"/>
        <v>63261286</v>
      </c>
    </row>
    <row r="230" spans="1:12" x14ac:dyDescent="0.3">
      <c r="A230" s="32">
        <v>46108</v>
      </c>
      <c r="B230" s="234" t="s">
        <v>33</v>
      </c>
      <c r="C230" s="244"/>
      <c r="D230" s="236">
        <v>3500</v>
      </c>
      <c r="E230" s="231"/>
      <c r="F230" s="54">
        <f>+F229+C230+D230-E230</f>
        <v>3756</v>
      </c>
      <c r="G230" s="240"/>
      <c r="H230" s="226">
        <v>0</v>
      </c>
      <c r="I230" s="62">
        <f t="shared" si="37"/>
        <v>0</v>
      </c>
      <c r="J230" s="247"/>
      <c r="K230" s="246"/>
      <c r="L230" s="67">
        <f>+L229+J230-K230</f>
        <v>63261286</v>
      </c>
    </row>
    <row r="231" spans="1:12" x14ac:dyDescent="0.3">
      <c r="A231" s="32">
        <v>46108</v>
      </c>
      <c r="B231" s="222" t="s">
        <v>23</v>
      </c>
      <c r="C231" s="244"/>
      <c r="D231" s="236"/>
      <c r="E231" s="231">
        <v>3500</v>
      </c>
      <c r="F231" s="54">
        <f t="shared" ref="F231:F238" si="44">+F230+C231+D231-E231</f>
        <v>256</v>
      </c>
      <c r="G231" s="241"/>
      <c r="H231" s="226"/>
      <c r="I231" s="62">
        <f t="shared" si="37"/>
        <v>0</v>
      </c>
      <c r="J231" s="247">
        <v>8050000</v>
      </c>
      <c r="K231" s="246"/>
      <c r="L231" s="67">
        <f t="shared" ref="L231:L238" si="45">+L230+J231-K231</f>
        <v>71311286</v>
      </c>
    </row>
    <row r="232" spans="1:12" x14ac:dyDescent="0.3">
      <c r="A232" s="32">
        <v>46108</v>
      </c>
      <c r="B232" s="232" t="s">
        <v>544</v>
      </c>
      <c r="C232" s="244">
        <v>200</v>
      </c>
      <c r="D232" s="237"/>
      <c r="E232" s="231"/>
      <c r="F232" s="54">
        <f t="shared" si="44"/>
        <v>456</v>
      </c>
      <c r="G232" s="241"/>
      <c r="H232" s="226"/>
      <c r="I232" s="62">
        <f t="shared" si="37"/>
        <v>0</v>
      </c>
      <c r="J232" s="248"/>
      <c r="K232" s="246"/>
      <c r="L232" s="67">
        <f t="shared" si="45"/>
        <v>71311286</v>
      </c>
    </row>
    <row r="233" spans="1:12" x14ac:dyDescent="0.3">
      <c r="A233" s="32">
        <v>46108</v>
      </c>
      <c r="B233" s="232" t="s">
        <v>545</v>
      </c>
      <c r="C233" s="244">
        <v>240</v>
      </c>
      <c r="D233" s="237"/>
      <c r="E233" s="231"/>
      <c r="F233" s="54">
        <f t="shared" si="44"/>
        <v>696</v>
      </c>
      <c r="G233" s="241"/>
      <c r="H233" s="280"/>
      <c r="I233" s="62">
        <f t="shared" si="37"/>
        <v>0</v>
      </c>
      <c r="J233" s="248">
        <v>8000</v>
      </c>
      <c r="K233" s="246"/>
      <c r="L233" s="67">
        <f t="shared" si="45"/>
        <v>71319286</v>
      </c>
    </row>
    <row r="234" spans="1:12" x14ac:dyDescent="0.3">
      <c r="A234" s="32">
        <v>46108</v>
      </c>
      <c r="B234" s="230" t="s">
        <v>546</v>
      </c>
      <c r="C234" s="244"/>
      <c r="D234" s="236"/>
      <c r="E234" s="231"/>
      <c r="F234" s="54">
        <f t="shared" si="44"/>
        <v>696</v>
      </c>
      <c r="G234" s="240"/>
      <c r="H234" s="226"/>
      <c r="I234" s="62">
        <f t="shared" si="37"/>
        <v>0</v>
      </c>
      <c r="J234" s="229"/>
      <c r="K234" s="246">
        <v>23727802</v>
      </c>
      <c r="L234" s="67">
        <f t="shared" si="45"/>
        <v>47591484</v>
      </c>
    </row>
    <row r="235" spans="1:12" x14ac:dyDescent="0.3">
      <c r="A235" s="32">
        <v>46108</v>
      </c>
      <c r="B235" s="230" t="s">
        <v>547</v>
      </c>
      <c r="C235" s="244"/>
      <c r="D235" s="236"/>
      <c r="E235" s="224"/>
      <c r="F235" s="54">
        <f t="shared" si="44"/>
        <v>696</v>
      </c>
      <c r="G235" s="240"/>
      <c r="H235" s="226"/>
      <c r="I235" s="62">
        <f t="shared" si="37"/>
        <v>0</v>
      </c>
      <c r="J235" s="271"/>
      <c r="K235" s="246">
        <v>22997847</v>
      </c>
      <c r="L235" s="67">
        <f t="shared" si="45"/>
        <v>24593637</v>
      </c>
    </row>
    <row r="236" spans="1:12" x14ac:dyDescent="0.3">
      <c r="A236" s="32">
        <v>46108</v>
      </c>
      <c r="B236" s="230" t="s">
        <v>548</v>
      </c>
      <c r="C236" s="244"/>
      <c r="D236" s="236"/>
      <c r="E236" s="231"/>
      <c r="F236" s="54">
        <f t="shared" si="44"/>
        <v>696</v>
      </c>
      <c r="G236" s="240"/>
      <c r="H236" s="228"/>
      <c r="I236" s="62">
        <f t="shared" si="37"/>
        <v>0</v>
      </c>
      <c r="J236" s="266"/>
      <c r="K236" s="246">
        <v>22957177</v>
      </c>
      <c r="L236" s="67">
        <f t="shared" si="45"/>
        <v>1636460</v>
      </c>
    </row>
    <row r="237" spans="1:12" x14ac:dyDescent="0.3">
      <c r="A237" s="32">
        <v>46108</v>
      </c>
      <c r="B237" s="230" t="s">
        <v>549</v>
      </c>
      <c r="C237" s="245"/>
      <c r="D237" s="236"/>
      <c r="E237" s="231"/>
      <c r="F237" s="54">
        <f t="shared" si="44"/>
        <v>696</v>
      </c>
      <c r="G237" s="241"/>
      <c r="H237" s="226"/>
      <c r="I237" s="62">
        <f t="shared" si="37"/>
        <v>0</v>
      </c>
      <c r="J237" s="248"/>
      <c r="K237" s="246">
        <v>363147</v>
      </c>
      <c r="L237" s="67">
        <f t="shared" si="45"/>
        <v>1273313</v>
      </c>
    </row>
    <row r="238" spans="1:12" x14ac:dyDescent="0.3">
      <c r="A238" s="32">
        <v>46108</v>
      </c>
      <c r="B238" s="230" t="s">
        <v>52</v>
      </c>
      <c r="C238" s="244"/>
      <c r="D238" s="236"/>
      <c r="E238" s="231"/>
      <c r="F238" s="107">
        <f t="shared" si="44"/>
        <v>696</v>
      </c>
      <c r="G238" s="240"/>
      <c r="H238" s="226"/>
      <c r="I238" s="62">
        <f t="shared" si="37"/>
        <v>0</v>
      </c>
      <c r="J238" s="264"/>
      <c r="K238" s="246">
        <v>10000</v>
      </c>
      <c r="L238" s="67">
        <f t="shared" si="45"/>
        <v>1263313</v>
      </c>
    </row>
    <row r="239" spans="1:12" x14ac:dyDescent="0.3">
      <c r="A239" s="32">
        <v>46111</v>
      </c>
      <c r="B239" s="232" t="s">
        <v>550</v>
      </c>
      <c r="C239" s="244">
        <v>650</v>
      </c>
      <c r="D239" s="236"/>
      <c r="E239" s="231"/>
      <c r="F239" s="54">
        <f>+F238+C239+D239-E239</f>
        <v>1346</v>
      </c>
      <c r="G239" s="240"/>
      <c r="H239" s="226">
        <v>0</v>
      </c>
      <c r="I239" s="62">
        <f t="shared" si="37"/>
        <v>0</v>
      </c>
      <c r="J239" s="272">
        <v>3000</v>
      </c>
      <c r="K239" s="246"/>
      <c r="L239" s="67">
        <f>+L238+J239-K239</f>
        <v>1266313</v>
      </c>
    </row>
    <row r="240" spans="1:12" x14ac:dyDescent="0.3">
      <c r="A240" s="32">
        <v>46111</v>
      </c>
      <c r="B240" s="230" t="s">
        <v>551</v>
      </c>
      <c r="C240" s="244"/>
      <c r="D240" s="236"/>
      <c r="E240" s="231">
        <v>60</v>
      </c>
      <c r="F240" s="54">
        <f t="shared" ref="F240:F243" si="46">+F239+C240+D240-E240</f>
        <v>1286</v>
      </c>
      <c r="G240" s="241"/>
      <c r="H240" s="226"/>
      <c r="I240" s="62">
        <f t="shared" si="37"/>
        <v>0</v>
      </c>
      <c r="J240" s="247"/>
      <c r="K240" s="246"/>
      <c r="L240" s="67">
        <f t="shared" ref="L240:L243" si="47">+L239+J240-K240</f>
        <v>1266313</v>
      </c>
    </row>
    <row r="241" spans="1:12" x14ac:dyDescent="0.3">
      <c r="A241" s="32">
        <v>46111</v>
      </c>
      <c r="B241" s="230" t="s">
        <v>552</v>
      </c>
      <c r="C241" s="244"/>
      <c r="D241" s="237"/>
      <c r="E241" s="231">
        <v>70</v>
      </c>
      <c r="F241" s="54">
        <f t="shared" si="46"/>
        <v>1216</v>
      </c>
      <c r="G241" s="241"/>
      <c r="H241" s="226"/>
      <c r="I241" s="62">
        <f t="shared" si="37"/>
        <v>0</v>
      </c>
      <c r="J241" s="248"/>
      <c r="K241" s="246"/>
      <c r="L241" s="67">
        <f t="shared" si="47"/>
        <v>1266313</v>
      </c>
    </row>
    <row r="242" spans="1:12" x14ac:dyDescent="0.3">
      <c r="A242" s="32">
        <v>46111</v>
      </c>
      <c r="B242" s="230" t="s">
        <v>28</v>
      </c>
      <c r="C242" s="244"/>
      <c r="D242" s="237"/>
      <c r="E242" s="231">
        <v>50</v>
      </c>
      <c r="F242" s="54">
        <f t="shared" si="46"/>
        <v>1166</v>
      </c>
      <c r="G242" s="241"/>
      <c r="H242" s="280"/>
      <c r="I242" s="62">
        <f t="shared" si="37"/>
        <v>0</v>
      </c>
      <c r="J242" s="37"/>
      <c r="K242" s="246"/>
      <c r="L242" s="67">
        <f t="shared" si="47"/>
        <v>1266313</v>
      </c>
    </row>
    <row r="243" spans="1:12" x14ac:dyDescent="0.3">
      <c r="A243" s="32">
        <v>46111</v>
      </c>
      <c r="B243" s="230" t="s">
        <v>17</v>
      </c>
      <c r="C243" s="244"/>
      <c r="D243" s="236"/>
      <c r="E243" s="231">
        <v>60</v>
      </c>
      <c r="F243" s="107">
        <f t="shared" si="46"/>
        <v>1106</v>
      </c>
      <c r="G243" s="240"/>
      <c r="H243" s="226"/>
      <c r="I243" s="62">
        <f t="shared" si="37"/>
        <v>0</v>
      </c>
      <c r="J243" s="229"/>
      <c r="K243" s="246"/>
      <c r="L243" s="67">
        <f t="shared" si="47"/>
        <v>1266313</v>
      </c>
    </row>
    <row r="244" spans="1:12" x14ac:dyDescent="0.3">
      <c r="A244" s="32">
        <v>46112</v>
      </c>
      <c r="B244" s="230" t="s">
        <v>553</v>
      </c>
      <c r="C244" s="244"/>
      <c r="D244" s="236"/>
      <c r="E244" s="231">
        <v>10</v>
      </c>
      <c r="F244" s="54">
        <f>+F243+C244+D244-E244</f>
        <v>1096</v>
      </c>
      <c r="G244" s="240"/>
      <c r="H244" s="226">
        <v>0</v>
      </c>
      <c r="I244" s="62">
        <f t="shared" si="37"/>
        <v>0</v>
      </c>
      <c r="J244" s="247"/>
      <c r="K244" s="246"/>
      <c r="L244" s="67">
        <f>+L243+J244-K244</f>
        <v>1266313</v>
      </c>
    </row>
    <row r="245" spans="1:12" x14ac:dyDescent="0.3">
      <c r="A245" s="32">
        <v>46112</v>
      </c>
      <c r="B245" s="230" t="s">
        <v>554</v>
      </c>
      <c r="C245" s="244"/>
      <c r="D245" s="236"/>
      <c r="E245" s="231"/>
      <c r="F245" s="54">
        <f t="shared" ref="F245:F265" si="48">+F244+C245+D245-E245</f>
        <v>1096</v>
      </c>
      <c r="G245" s="241"/>
      <c r="H245" s="226"/>
      <c r="I245" s="62">
        <f t="shared" si="37"/>
        <v>0</v>
      </c>
      <c r="J245" s="247"/>
      <c r="K245" s="246">
        <v>5000</v>
      </c>
      <c r="L245" s="67">
        <f t="shared" ref="L245:L265" si="49">+L244+J245-K245</f>
        <v>1261313</v>
      </c>
    </row>
    <row r="246" spans="1:12" x14ac:dyDescent="0.3">
      <c r="A246" s="32">
        <v>46112</v>
      </c>
      <c r="B246" s="230" t="s">
        <v>48</v>
      </c>
      <c r="C246" s="244"/>
      <c r="D246" s="237"/>
      <c r="E246" s="231">
        <v>70</v>
      </c>
      <c r="F246" s="54">
        <f t="shared" si="48"/>
        <v>1026</v>
      </c>
      <c r="G246" s="241"/>
      <c r="H246" s="226"/>
      <c r="I246" s="62">
        <f t="shared" si="37"/>
        <v>0</v>
      </c>
      <c r="J246" s="248"/>
      <c r="K246" s="246"/>
      <c r="L246" s="67">
        <f t="shared" si="49"/>
        <v>1261313</v>
      </c>
    </row>
    <row r="247" spans="1:12" x14ac:dyDescent="0.3">
      <c r="A247" s="32">
        <v>46112</v>
      </c>
      <c r="B247" s="230" t="s">
        <v>36</v>
      </c>
      <c r="C247" s="244"/>
      <c r="D247" s="237"/>
      <c r="E247" s="231">
        <v>50</v>
      </c>
      <c r="F247" s="54">
        <f t="shared" si="48"/>
        <v>976</v>
      </c>
      <c r="G247" s="241"/>
      <c r="H247" s="280"/>
      <c r="I247" s="62">
        <f t="shared" si="37"/>
        <v>0</v>
      </c>
      <c r="J247" s="37"/>
      <c r="K247" s="246"/>
      <c r="L247" s="67">
        <f t="shared" si="49"/>
        <v>1261313</v>
      </c>
    </row>
    <row r="248" spans="1:12" x14ac:dyDescent="0.3">
      <c r="A248" s="32">
        <v>46112</v>
      </c>
      <c r="B248" s="230" t="s">
        <v>555</v>
      </c>
      <c r="C248" s="244"/>
      <c r="D248" s="236"/>
      <c r="E248" s="231"/>
      <c r="F248" s="54">
        <f t="shared" si="48"/>
        <v>976</v>
      </c>
      <c r="G248" s="240"/>
      <c r="H248" s="226"/>
      <c r="I248" s="62">
        <f t="shared" si="37"/>
        <v>0</v>
      </c>
      <c r="J248" s="229"/>
      <c r="K248" s="246">
        <v>10000</v>
      </c>
      <c r="L248" s="67">
        <f t="shared" si="49"/>
        <v>1251313</v>
      </c>
    </row>
    <row r="249" spans="1:12" x14ac:dyDescent="0.3">
      <c r="A249" s="32">
        <v>46112</v>
      </c>
      <c r="B249" s="230" t="s">
        <v>556</v>
      </c>
      <c r="C249" s="244"/>
      <c r="D249" s="236"/>
      <c r="E249" s="231">
        <v>420</v>
      </c>
      <c r="F249" s="54">
        <f t="shared" si="48"/>
        <v>556</v>
      </c>
      <c r="G249" s="240"/>
      <c r="H249" s="226"/>
      <c r="I249" s="62">
        <f t="shared" si="37"/>
        <v>0</v>
      </c>
      <c r="J249" s="271"/>
      <c r="K249" s="246"/>
      <c r="L249" s="67">
        <f t="shared" si="49"/>
        <v>1251313</v>
      </c>
    </row>
    <row r="250" spans="1:12" x14ac:dyDescent="0.3">
      <c r="A250" s="32">
        <v>46112</v>
      </c>
      <c r="B250" s="230" t="s">
        <v>557</v>
      </c>
      <c r="C250" s="244"/>
      <c r="D250" s="236"/>
      <c r="E250" s="231">
        <v>450</v>
      </c>
      <c r="F250" s="54">
        <f t="shared" si="48"/>
        <v>106</v>
      </c>
      <c r="G250" s="240"/>
      <c r="H250" s="228"/>
      <c r="I250" s="62">
        <f t="shared" si="37"/>
        <v>0</v>
      </c>
      <c r="J250" s="266"/>
      <c r="K250" s="246"/>
      <c r="L250" s="67">
        <f t="shared" si="49"/>
        <v>1251313</v>
      </c>
    </row>
    <row r="251" spans="1:12" x14ac:dyDescent="0.3">
      <c r="A251" s="32">
        <v>46112</v>
      </c>
      <c r="B251" s="234" t="s">
        <v>54</v>
      </c>
      <c r="C251" s="245"/>
      <c r="D251" s="236">
        <v>3500</v>
      </c>
      <c r="E251" s="231"/>
      <c r="F251" s="54">
        <f t="shared" si="48"/>
        <v>3606</v>
      </c>
      <c r="G251" s="241"/>
      <c r="H251" s="226"/>
      <c r="I251" s="62">
        <f t="shared" si="37"/>
        <v>0</v>
      </c>
      <c r="J251" s="248"/>
      <c r="K251" s="246"/>
      <c r="L251" s="67">
        <f t="shared" si="49"/>
        <v>1251313</v>
      </c>
    </row>
    <row r="252" spans="1:12" x14ac:dyDescent="0.3">
      <c r="A252" s="32">
        <v>46112</v>
      </c>
      <c r="B252" s="234" t="s">
        <v>33</v>
      </c>
      <c r="C252" s="244"/>
      <c r="D252" s="236">
        <v>5000</v>
      </c>
      <c r="E252" s="231"/>
      <c r="F252" s="54">
        <f t="shared" si="48"/>
        <v>8606</v>
      </c>
      <c r="G252" s="240"/>
      <c r="H252" s="226"/>
      <c r="I252" s="62">
        <f t="shared" si="37"/>
        <v>0</v>
      </c>
      <c r="J252" s="264"/>
      <c r="K252" s="246"/>
      <c r="L252" s="67">
        <f t="shared" si="49"/>
        <v>1251313</v>
      </c>
    </row>
    <row r="253" spans="1:12" x14ac:dyDescent="0.3">
      <c r="A253" s="32">
        <v>46112</v>
      </c>
      <c r="B253" s="230" t="s">
        <v>558</v>
      </c>
      <c r="C253" s="244"/>
      <c r="D253" s="236"/>
      <c r="E253" s="231">
        <v>500</v>
      </c>
      <c r="F253" s="54">
        <f t="shared" si="48"/>
        <v>8106</v>
      </c>
      <c r="G253" s="240"/>
      <c r="H253" s="226"/>
      <c r="I253" s="62">
        <f t="shared" si="37"/>
        <v>0</v>
      </c>
      <c r="J253" s="264"/>
      <c r="K253" s="246">
        <v>150000</v>
      </c>
      <c r="L253" s="67">
        <f t="shared" si="49"/>
        <v>1101313</v>
      </c>
    </row>
    <row r="254" spans="1:12" x14ac:dyDescent="0.3">
      <c r="A254" s="32">
        <v>46112</v>
      </c>
      <c r="B254" s="230" t="s">
        <v>559</v>
      </c>
      <c r="C254" s="244"/>
      <c r="D254" s="236"/>
      <c r="E254" s="231">
        <v>140</v>
      </c>
      <c r="F254" s="54">
        <f t="shared" si="48"/>
        <v>7966</v>
      </c>
      <c r="G254" s="240"/>
      <c r="H254" s="226"/>
      <c r="I254" s="62">
        <f t="shared" si="37"/>
        <v>0</v>
      </c>
      <c r="J254" s="248"/>
      <c r="K254" s="246"/>
      <c r="L254" s="67">
        <f t="shared" si="49"/>
        <v>1101313</v>
      </c>
    </row>
    <row r="255" spans="1:12" x14ac:dyDescent="0.3">
      <c r="A255" s="32">
        <v>46112</v>
      </c>
      <c r="B255" s="230" t="s">
        <v>45</v>
      </c>
      <c r="C255" s="244"/>
      <c r="D255" s="237"/>
      <c r="E255" s="231">
        <v>80</v>
      </c>
      <c r="F255" s="54">
        <f t="shared" si="48"/>
        <v>7886</v>
      </c>
      <c r="G255" s="240"/>
      <c r="H255" s="226"/>
      <c r="I255" s="62">
        <f t="shared" si="37"/>
        <v>0</v>
      </c>
      <c r="J255" s="130"/>
      <c r="K255" s="246"/>
      <c r="L255" s="67">
        <f t="shared" si="49"/>
        <v>1101313</v>
      </c>
    </row>
    <row r="256" spans="1:12" x14ac:dyDescent="0.3">
      <c r="A256" s="32">
        <v>46112</v>
      </c>
      <c r="B256" s="230" t="s">
        <v>25</v>
      </c>
      <c r="C256" s="244"/>
      <c r="D256" s="236"/>
      <c r="E256" s="231">
        <v>20</v>
      </c>
      <c r="F256" s="54">
        <f t="shared" si="48"/>
        <v>7866</v>
      </c>
      <c r="G256" s="241"/>
      <c r="H256" s="226"/>
      <c r="I256" s="62">
        <f t="shared" si="37"/>
        <v>0</v>
      </c>
      <c r="J256" s="271"/>
      <c r="K256" s="246"/>
      <c r="L256" s="67">
        <f t="shared" si="49"/>
        <v>1101313</v>
      </c>
    </row>
    <row r="257" spans="1:12" x14ac:dyDescent="0.3">
      <c r="A257" s="32">
        <v>46112</v>
      </c>
      <c r="B257" s="230" t="s">
        <v>292</v>
      </c>
      <c r="C257" s="244"/>
      <c r="D257" s="237"/>
      <c r="E257" s="231">
        <v>40</v>
      </c>
      <c r="F257" s="54">
        <f t="shared" si="48"/>
        <v>7826</v>
      </c>
      <c r="G257" s="241"/>
      <c r="H257" s="226"/>
      <c r="I257" s="62">
        <f t="shared" si="37"/>
        <v>0</v>
      </c>
      <c r="J257" s="248"/>
      <c r="K257" s="246"/>
      <c r="L257" s="67">
        <f t="shared" si="49"/>
        <v>1101313</v>
      </c>
    </row>
    <row r="258" spans="1:12" x14ac:dyDescent="0.3">
      <c r="A258" s="32">
        <v>46112</v>
      </c>
      <c r="B258" s="230" t="s">
        <v>560</v>
      </c>
      <c r="C258" s="239"/>
      <c r="D258" s="237"/>
      <c r="E258" s="231">
        <v>90</v>
      </c>
      <c r="F258" s="54">
        <f t="shared" si="48"/>
        <v>7736</v>
      </c>
      <c r="G258" s="242"/>
      <c r="H258" s="227"/>
      <c r="I258" s="62">
        <f t="shared" si="37"/>
        <v>0</v>
      </c>
      <c r="J258" s="37"/>
      <c r="K258" s="246"/>
      <c r="L258" s="67">
        <f t="shared" si="49"/>
        <v>1101313</v>
      </c>
    </row>
    <row r="259" spans="1:12" x14ac:dyDescent="0.3">
      <c r="A259" s="32">
        <v>46112</v>
      </c>
      <c r="B259" s="230" t="s">
        <v>561</v>
      </c>
      <c r="C259" s="244"/>
      <c r="D259" s="236"/>
      <c r="E259" s="231">
        <v>840</v>
      </c>
      <c r="F259" s="54">
        <f t="shared" si="48"/>
        <v>6896</v>
      </c>
      <c r="G259" s="243"/>
      <c r="H259" s="227"/>
      <c r="I259" s="62">
        <f t="shared" si="37"/>
        <v>0</v>
      </c>
      <c r="J259" s="264"/>
      <c r="K259" s="246"/>
      <c r="L259" s="67">
        <f t="shared" si="49"/>
        <v>1101313</v>
      </c>
    </row>
    <row r="260" spans="1:12" x14ac:dyDescent="0.3">
      <c r="A260" s="32">
        <v>46112</v>
      </c>
      <c r="B260" s="232" t="s">
        <v>567</v>
      </c>
      <c r="C260" s="244">
        <v>1300</v>
      </c>
      <c r="D260" s="236"/>
      <c r="E260" s="231"/>
      <c r="F260" s="54">
        <f t="shared" si="48"/>
        <v>8196</v>
      </c>
      <c r="G260" s="223"/>
      <c r="H260" s="221"/>
      <c r="I260" s="62">
        <f t="shared" si="37"/>
        <v>0</v>
      </c>
      <c r="J260" s="264"/>
      <c r="K260" s="246"/>
      <c r="L260" s="67">
        <f t="shared" si="49"/>
        <v>1101313</v>
      </c>
    </row>
    <row r="261" spans="1:12" x14ac:dyDescent="0.3">
      <c r="A261" s="32">
        <v>46112</v>
      </c>
      <c r="B261" s="232" t="s">
        <v>562</v>
      </c>
      <c r="C261" s="244">
        <v>553</v>
      </c>
      <c r="D261" s="236"/>
      <c r="E261" s="231"/>
      <c r="F261" s="54">
        <f t="shared" si="48"/>
        <v>8749</v>
      </c>
      <c r="G261" s="223"/>
      <c r="H261" s="227"/>
      <c r="I261" s="62">
        <f t="shared" si="37"/>
        <v>0</v>
      </c>
      <c r="J261" s="264"/>
      <c r="K261" s="246"/>
      <c r="L261" s="67">
        <f t="shared" si="49"/>
        <v>1101313</v>
      </c>
    </row>
    <row r="262" spans="1:12" x14ac:dyDescent="0.3">
      <c r="A262" s="32">
        <v>46112</v>
      </c>
      <c r="B262" s="232" t="s">
        <v>563</v>
      </c>
      <c r="C262" s="239">
        <v>420</v>
      </c>
      <c r="D262" s="236"/>
      <c r="E262" s="231"/>
      <c r="F262" s="54">
        <f t="shared" si="48"/>
        <v>9169</v>
      </c>
      <c r="G262" s="223"/>
      <c r="H262" s="227"/>
      <c r="I262" s="62">
        <f t="shared" si="37"/>
        <v>0</v>
      </c>
      <c r="J262" s="229"/>
      <c r="K262" s="246"/>
      <c r="L262" s="67">
        <f t="shared" si="49"/>
        <v>1101313</v>
      </c>
    </row>
    <row r="263" spans="1:12" x14ac:dyDescent="0.3">
      <c r="A263" s="32">
        <v>46112</v>
      </c>
      <c r="B263" s="230" t="s">
        <v>564</v>
      </c>
      <c r="C263" s="244"/>
      <c r="D263" s="236"/>
      <c r="E263" s="231">
        <v>50</v>
      </c>
      <c r="F263" s="54">
        <f t="shared" si="48"/>
        <v>9119</v>
      </c>
      <c r="G263" s="223"/>
      <c r="H263" s="227"/>
      <c r="I263" s="62">
        <f t="shared" ref="I263:I265" si="50">+I262+G263-H263</f>
        <v>0</v>
      </c>
      <c r="J263" s="65"/>
      <c r="K263" s="246"/>
      <c r="L263" s="67">
        <f t="shared" si="49"/>
        <v>1101313</v>
      </c>
    </row>
    <row r="264" spans="1:12" x14ac:dyDescent="0.3">
      <c r="A264" s="32">
        <v>46112</v>
      </c>
      <c r="B264" s="230" t="s">
        <v>565</v>
      </c>
      <c r="C264" s="244"/>
      <c r="D264" s="236"/>
      <c r="E264" s="231"/>
      <c r="F264" s="54">
        <f t="shared" si="48"/>
        <v>9119</v>
      </c>
      <c r="G264" s="223"/>
      <c r="H264" s="227"/>
      <c r="I264" s="62">
        <f t="shared" si="50"/>
        <v>0</v>
      </c>
      <c r="J264" s="65"/>
      <c r="K264" s="246">
        <v>20000</v>
      </c>
      <c r="L264" s="67">
        <f t="shared" si="49"/>
        <v>1081313</v>
      </c>
    </row>
    <row r="265" spans="1:12" x14ac:dyDescent="0.3">
      <c r="A265" s="32">
        <v>46112</v>
      </c>
      <c r="B265" s="230" t="s">
        <v>566</v>
      </c>
      <c r="C265" s="267"/>
      <c r="D265" s="235"/>
      <c r="E265" s="231">
        <v>100</v>
      </c>
      <c r="F265" s="107">
        <f t="shared" si="48"/>
        <v>9019</v>
      </c>
      <c r="G265" s="223"/>
      <c r="H265" s="227"/>
      <c r="I265" s="62">
        <f t="shared" si="50"/>
        <v>0</v>
      </c>
      <c r="J265" s="248"/>
      <c r="K265" s="246"/>
      <c r="L265" s="67">
        <f t="shared" si="49"/>
        <v>1081313</v>
      </c>
    </row>
    <row r="266" spans="1:12" x14ac:dyDescent="0.3">
      <c r="A266" s="32"/>
      <c r="B266" s="288"/>
      <c r="C266" s="231"/>
      <c r="D266" s="275"/>
      <c r="E266" s="231"/>
      <c r="F266" s="107">
        <f t="shared" ref="F266:F267" si="51">F265+C266+D266-E266</f>
        <v>9019</v>
      </c>
      <c r="G266" s="240"/>
      <c r="H266" s="226"/>
      <c r="I266" s="62">
        <f t="shared" ref="I266:I267" si="52">I265++G266-H266</f>
        <v>0</v>
      </c>
      <c r="J266" s="247"/>
      <c r="K266" s="246"/>
      <c r="L266" s="258">
        <f t="shared" ref="L266:L267" si="53">L265+J266-K266</f>
        <v>1081313</v>
      </c>
    </row>
    <row r="267" spans="1:12" ht="15" thickBot="1" x14ac:dyDescent="0.35">
      <c r="A267" s="34"/>
      <c r="B267" s="27"/>
      <c r="C267" s="82"/>
      <c r="D267" s="59"/>
      <c r="E267" s="66"/>
      <c r="F267" s="107">
        <f t="shared" si="51"/>
        <v>9019</v>
      </c>
      <c r="G267" s="59"/>
      <c r="H267" s="60"/>
      <c r="I267" s="62">
        <f t="shared" si="52"/>
        <v>0</v>
      </c>
      <c r="J267" s="72"/>
      <c r="K267" s="79"/>
      <c r="L267" s="258">
        <f t="shared" si="53"/>
        <v>1081313</v>
      </c>
    </row>
    <row r="268" spans="1:12" ht="15" thickBot="1" x14ac:dyDescent="0.35">
      <c r="A268" s="31"/>
      <c r="B268" s="28" t="s">
        <v>21</v>
      </c>
      <c r="C268" s="76"/>
      <c r="D268" s="56"/>
      <c r="E268" s="57"/>
      <c r="F268" s="111">
        <f t="shared" ref="F268" si="54">F267+C268+D268-E268</f>
        <v>9019</v>
      </c>
      <c r="G268" s="105"/>
      <c r="H268" s="58"/>
      <c r="I268" s="256">
        <f t="shared" ref="I268" si="55">I267+G268-H268</f>
        <v>0</v>
      </c>
      <c r="J268" s="63"/>
      <c r="K268" s="80"/>
      <c r="L268" s="259">
        <f>L267+J268-K268</f>
        <v>1081313</v>
      </c>
    </row>
    <row r="269" spans="1:12" x14ac:dyDescent="0.3">
      <c r="A269" s="30"/>
      <c r="B269" s="29" t="s">
        <v>22</v>
      </c>
      <c r="C269" s="98"/>
      <c r="D269" s="99"/>
      <c r="E269" s="99"/>
      <c r="F269" s="252">
        <v>5080</v>
      </c>
    </row>
  </sheetData>
  <pageMargins left="0.51181102362204722" right="0.11811023622047245" top="0.74803149606299213" bottom="0.74803149606299213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workbookViewId="0">
      <pane xSplit="1" ySplit="5" topLeftCell="B255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baseColWidth="10" defaultRowHeight="14.4" x14ac:dyDescent="0.3"/>
  <cols>
    <col min="1" max="1" width="10.33203125" style="46" customWidth="1"/>
    <col min="2" max="2" width="50.5546875" style="46" bestFit="1" customWidth="1"/>
    <col min="3" max="5" width="11.5546875" style="46"/>
    <col min="6" max="6" width="11.5546875" style="109"/>
    <col min="7" max="7" width="11.5546875" style="46"/>
    <col min="8" max="8" width="12.21875" style="46" bestFit="1" customWidth="1"/>
    <col min="9" max="9" width="11.5546875" style="109"/>
    <col min="10" max="10" width="13.77734375" style="46" customWidth="1"/>
    <col min="11" max="11" width="13.33203125" style="46" customWidth="1"/>
    <col min="12" max="12" width="12.6640625" style="109" bestFit="1" customWidth="1"/>
    <col min="13" max="16384" width="11.5546875" style="46"/>
  </cols>
  <sheetData>
    <row r="1" spans="1:12" ht="18" x14ac:dyDescent="0.35">
      <c r="A1" s="47" t="s">
        <v>0</v>
      </c>
      <c r="B1" s="47"/>
    </row>
    <row r="2" spans="1:12" ht="16.2" thickBot="1" x14ac:dyDescent="0.35">
      <c r="A2" s="48" t="s">
        <v>773</v>
      </c>
      <c r="B2" s="48"/>
      <c r="L2" s="104">
        <v>46054</v>
      </c>
    </row>
    <row r="3" spans="1:12" ht="16.2" thickBot="1" x14ac:dyDescent="0.35">
      <c r="A3" s="101"/>
      <c r="B3" s="1" t="s">
        <v>1</v>
      </c>
      <c r="C3" s="49"/>
      <c r="D3" s="51" t="s">
        <v>2</v>
      </c>
      <c r="E3" s="52"/>
      <c r="F3" s="106"/>
      <c r="G3" s="52"/>
      <c r="H3" s="50" t="s">
        <v>3</v>
      </c>
      <c r="I3" s="253"/>
      <c r="J3" s="35" t="s">
        <v>4</v>
      </c>
      <c r="K3" s="36"/>
      <c r="L3" s="238"/>
    </row>
    <row r="4" spans="1:12" ht="15" thickBot="1" x14ac:dyDescent="0.35">
      <c r="A4" s="103"/>
      <c r="B4" s="22"/>
      <c r="C4" s="91" t="s">
        <v>5</v>
      </c>
      <c r="D4" s="92" t="s">
        <v>6</v>
      </c>
      <c r="E4" s="93" t="s">
        <v>7</v>
      </c>
      <c r="F4" s="249" t="s">
        <v>8</v>
      </c>
      <c r="G4" s="94" t="s">
        <v>9</v>
      </c>
      <c r="H4" s="95" t="s">
        <v>10</v>
      </c>
      <c r="I4" s="250" t="s">
        <v>11</v>
      </c>
      <c r="J4" s="96" t="s">
        <v>12</v>
      </c>
      <c r="K4" s="97" t="s">
        <v>13</v>
      </c>
      <c r="L4" s="251" t="s">
        <v>14</v>
      </c>
    </row>
    <row r="5" spans="1:12" x14ac:dyDescent="0.3">
      <c r="A5" s="102"/>
      <c r="B5" s="23" t="s">
        <v>15</v>
      </c>
      <c r="C5" s="84"/>
      <c r="D5" s="85">
        <v>662</v>
      </c>
      <c r="E5" s="86"/>
      <c r="F5" s="108">
        <f>D5</f>
        <v>662</v>
      </c>
      <c r="G5" s="87">
        <v>0</v>
      </c>
      <c r="H5" s="88"/>
      <c r="I5" s="254">
        <v>0</v>
      </c>
      <c r="J5" s="89">
        <v>26967</v>
      </c>
      <c r="K5" s="90"/>
      <c r="L5" s="257">
        <f>J5</f>
        <v>26967</v>
      </c>
    </row>
    <row r="6" spans="1:12" x14ac:dyDescent="0.3">
      <c r="A6" s="32">
        <v>46055</v>
      </c>
      <c r="B6" s="234" t="s">
        <v>33</v>
      </c>
      <c r="C6" s="244"/>
      <c r="D6" s="236">
        <v>1500</v>
      </c>
      <c r="E6" s="231"/>
      <c r="F6" s="107">
        <f>+F5+C6+D6-E6</f>
        <v>2162</v>
      </c>
      <c r="G6" s="240"/>
      <c r="H6" s="226">
        <v>0</v>
      </c>
      <c r="I6" s="62">
        <f t="shared" ref="I6:I70" si="0">+I5+G6-H6</f>
        <v>0</v>
      </c>
      <c r="J6" s="247"/>
      <c r="K6" s="246"/>
      <c r="L6" s="258">
        <f>+L5+J6-K6</f>
        <v>26967</v>
      </c>
    </row>
    <row r="7" spans="1:12" x14ac:dyDescent="0.3">
      <c r="A7" s="32">
        <v>46055</v>
      </c>
      <c r="B7" s="230" t="s">
        <v>28</v>
      </c>
      <c r="C7" s="244"/>
      <c r="D7" s="236"/>
      <c r="E7" s="231">
        <v>50</v>
      </c>
      <c r="F7" s="107">
        <f t="shared" ref="F7:F20" si="1">+F6+C7+D7-E7</f>
        <v>2112</v>
      </c>
      <c r="G7" s="241"/>
      <c r="H7" s="226"/>
      <c r="I7" s="62">
        <f t="shared" si="0"/>
        <v>0</v>
      </c>
      <c r="J7" s="229"/>
      <c r="K7" s="246"/>
      <c r="L7" s="258">
        <f t="shared" ref="L7:L20" si="2">+L6+J7-K7</f>
        <v>26967</v>
      </c>
    </row>
    <row r="8" spans="1:12" x14ac:dyDescent="0.3">
      <c r="A8" s="32">
        <v>46055</v>
      </c>
      <c r="B8" s="230" t="s">
        <v>214</v>
      </c>
      <c r="C8" s="244"/>
      <c r="D8" s="236"/>
      <c r="E8" s="231">
        <v>70</v>
      </c>
      <c r="F8" s="107">
        <f t="shared" si="1"/>
        <v>2042</v>
      </c>
      <c r="G8" s="241"/>
      <c r="H8" s="226"/>
      <c r="I8" s="62">
        <f t="shared" si="0"/>
        <v>0</v>
      </c>
      <c r="J8" s="130"/>
      <c r="K8" s="246"/>
      <c r="L8" s="258">
        <f t="shared" si="2"/>
        <v>26967</v>
      </c>
    </row>
    <row r="9" spans="1:12" x14ac:dyDescent="0.3">
      <c r="A9" s="32">
        <v>46055</v>
      </c>
      <c r="B9" s="230" t="s">
        <v>215</v>
      </c>
      <c r="C9" s="244"/>
      <c r="D9" s="236"/>
      <c r="E9" s="231">
        <v>10</v>
      </c>
      <c r="F9" s="107">
        <f t="shared" si="1"/>
        <v>2032</v>
      </c>
      <c r="G9" s="241"/>
      <c r="H9" s="280"/>
      <c r="I9" s="62">
        <f t="shared" si="0"/>
        <v>0</v>
      </c>
      <c r="J9" s="37"/>
      <c r="K9" s="246"/>
      <c r="L9" s="258">
        <f t="shared" si="2"/>
        <v>26967</v>
      </c>
    </row>
    <row r="10" spans="1:12" x14ac:dyDescent="0.3">
      <c r="A10" s="32">
        <v>46055</v>
      </c>
      <c r="B10" s="230" t="s">
        <v>36</v>
      </c>
      <c r="C10" s="244"/>
      <c r="D10" s="236"/>
      <c r="E10" s="231">
        <v>50</v>
      </c>
      <c r="F10" s="107">
        <f t="shared" si="1"/>
        <v>1982</v>
      </c>
      <c r="G10" s="240"/>
      <c r="H10" s="226"/>
      <c r="I10" s="62">
        <f t="shared" si="0"/>
        <v>0</v>
      </c>
      <c r="J10" s="229"/>
      <c r="K10" s="246"/>
      <c r="L10" s="258">
        <f t="shared" si="2"/>
        <v>26967</v>
      </c>
    </row>
    <row r="11" spans="1:12" x14ac:dyDescent="0.3">
      <c r="A11" s="32">
        <v>46055</v>
      </c>
      <c r="B11" s="230" t="s">
        <v>37</v>
      </c>
      <c r="C11" s="244"/>
      <c r="D11" s="236"/>
      <c r="E11" s="231">
        <v>70</v>
      </c>
      <c r="F11" s="107">
        <f t="shared" si="1"/>
        <v>1912</v>
      </c>
      <c r="G11" s="240"/>
      <c r="H11" s="226"/>
      <c r="I11" s="62">
        <f t="shared" si="0"/>
        <v>0</v>
      </c>
      <c r="J11" s="264"/>
      <c r="K11" s="246"/>
      <c r="L11" s="258">
        <f t="shared" si="2"/>
        <v>26967</v>
      </c>
    </row>
    <row r="12" spans="1:12" x14ac:dyDescent="0.3">
      <c r="A12" s="32">
        <v>46055</v>
      </c>
      <c r="B12" s="230" t="s">
        <v>20</v>
      </c>
      <c r="C12" s="244"/>
      <c r="D12" s="236"/>
      <c r="E12" s="231">
        <v>100</v>
      </c>
      <c r="F12" s="107">
        <f t="shared" si="1"/>
        <v>1812</v>
      </c>
      <c r="G12" s="240"/>
      <c r="H12" s="228"/>
      <c r="I12" s="62">
        <f t="shared" si="0"/>
        <v>0</v>
      </c>
      <c r="J12" s="264"/>
      <c r="K12" s="246"/>
      <c r="L12" s="258">
        <f t="shared" si="2"/>
        <v>26967</v>
      </c>
    </row>
    <row r="13" spans="1:12" x14ac:dyDescent="0.3">
      <c r="A13" s="32">
        <v>46055</v>
      </c>
      <c r="B13" s="230" t="s">
        <v>249</v>
      </c>
      <c r="C13" s="244"/>
      <c r="D13" s="236"/>
      <c r="E13" s="231">
        <v>50</v>
      </c>
      <c r="F13" s="107">
        <f t="shared" si="1"/>
        <v>1762</v>
      </c>
      <c r="G13" s="241"/>
      <c r="H13" s="226"/>
      <c r="I13" s="62">
        <f t="shared" si="0"/>
        <v>0</v>
      </c>
      <c r="J13" s="233"/>
      <c r="K13" s="246"/>
      <c r="L13" s="258">
        <f t="shared" si="2"/>
        <v>26967</v>
      </c>
    </row>
    <row r="14" spans="1:12" x14ac:dyDescent="0.3">
      <c r="A14" s="32">
        <v>46055</v>
      </c>
      <c r="B14" s="230" t="s">
        <v>250</v>
      </c>
      <c r="C14" s="244"/>
      <c r="D14" s="236"/>
      <c r="E14" s="231">
        <v>100</v>
      </c>
      <c r="F14" s="107">
        <f t="shared" si="1"/>
        <v>1662</v>
      </c>
      <c r="G14" s="240"/>
      <c r="H14" s="226"/>
      <c r="I14" s="62">
        <f t="shared" si="0"/>
        <v>0</v>
      </c>
      <c r="J14" s="271"/>
      <c r="K14" s="246"/>
      <c r="L14" s="258">
        <f t="shared" si="2"/>
        <v>26967</v>
      </c>
    </row>
    <row r="15" spans="1:12" x14ac:dyDescent="0.3">
      <c r="A15" s="32">
        <v>46055</v>
      </c>
      <c r="B15" s="230" t="s">
        <v>42</v>
      </c>
      <c r="C15" s="244"/>
      <c r="D15" s="236"/>
      <c r="E15" s="231">
        <v>80</v>
      </c>
      <c r="F15" s="107">
        <f t="shared" si="1"/>
        <v>1582</v>
      </c>
      <c r="G15" s="240"/>
      <c r="H15" s="226"/>
      <c r="I15" s="62">
        <f t="shared" si="0"/>
        <v>0</v>
      </c>
      <c r="J15" s="264"/>
      <c r="K15" s="246"/>
      <c r="L15" s="258">
        <f t="shared" si="2"/>
        <v>26967</v>
      </c>
    </row>
    <row r="16" spans="1:12" x14ac:dyDescent="0.3">
      <c r="A16" s="32">
        <v>46055</v>
      </c>
      <c r="B16" s="230" t="s">
        <v>251</v>
      </c>
      <c r="C16" s="244"/>
      <c r="D16" s="236"/>
      <c r="E16" s="231">
        <v>30</v>
      </c>
      <c r="F16" s="107">
        <f t="shared" si="1"/>
        <v>1552</v>
      </c>
      <c r="G16" s="240"/>
      <c r="H16" s="226"/>
      <c r="I16" s="62">
        <f t="shared" si="0"/>
        <v>0</v>
      </c>
      <c r="J16" s="248"/>
      <c r="K16" s="246"/>
      <c r="L16" s="258">
        <f t="shared" si="2"/>
        <v>26967</v>
      </c>
    </row>
    <row r="17" spans="1:12" x14ac:dyDescent="0.3">
      <c r="A17" s="32">
        <v>46055</v>
      </c>
      <c r="B17" s="230" t="s">
        <v>25</v>
      </c>
      <c r="C17" s="244"/>
      <c r="D17" s="236"/>
      <c r="E17" s="231">
        <v>20</v>
      </c>
      <c r="F17" s="107">
        <f t="shared" si="1"/>
        <v>1532</v>
      </c>
      <c r="G17" s="240"/>
      <c r="H17" s="226"/>
      <c r="I17" s="62">
        <f t="shared" si="0"/>
        <v>0</v>
      </c>
      <c r="J17" s="248"/>
      <c r="K17" s="246"/>
      <c r="L17" s="258">
        <f t="shared" si="2"/>
        <v>26967</v>
      </c>
    </row>
    <row r="18" spans="1:12" x14ac:dyDescent="0.3">
      <c r="A18" s="32">
        <v>46055</v>
      </c>
      <c r="B18" s="232" t="s">
        <v>252</v>
      </c>
      <c r="C18" s="244"/>
      <c r="D18" s="236"/>
      <c r="E18" s="231">
        <v>500</v>
      </c>
      <c r="F18" s="107">
        <f t="shared" si="1"/>
        <v>1032</v>
      </c>
      <c r="G18" s="241"/>
      <c r="H18" s="226"/>
      <c r="I18" s="62">
        <f t="shared" si="0"/>
        <v>0</v>
      </c>
      <c r="J18" s="271"/>
      <c r="K18" s="246"/>
      <c r="L18" s="258">
        <f t="shared" si="2"/>
        <v>26967</v>
      </c>
    </row>
    <row r="19" spans="1:12" x14ac:dyDescent="0.3">
      <c r="A19" s="32">
        <v>46055</v>
      </c>
      <c r="B19" s="230" t="s">
        <v>253</v>
      </c>
      <c r="C19" s="244"/>
      <c r="D19" s="236"/>
      <c r="E19" s="231">
        <v>200</v>
      </c>
      <c r="F19" s="107">
        <f t="shared" si="1"/>
        <v>832</v>
      </c>
      <c r="G19" s="241"/>
      <c r="H19" s="226"/>
      <c r="I19" s="62">
        <f t="shared" si="0"/>
        <v>0</v>
      </c>
      <c r="J19" s="248"/>
      <c r="K19" s="246"/>
      <c r="L19" s="258">
        <f t="shared" si="2"/>
        <v>26967</v>
      </c>
    </row>
    <row r="20" spans="1:12" x14ac:dyDescent="0.3">
      <c r="A20" s="32">
        <v>46055</v>
      </c>
      <c r="B20" s="230" t="s">
        <v>254</v>
      </c>
      <c r="C20" s="244"/>
      <c r="D20" s="236"/>
      <c r="E20" s="231">
        <v>90</v>
      </c>
      <c r="F20" s="107">
        <f t="shared" si="1"/>
        <v>742</v>
      </c>
      <c r="G20" s="242"/>
      <c r="H20" s="227"/>
      <c r="I20" s="62">
        <f t="shared" si="0"/>
        <v>0</v>
      </c>
      <c r="J20" s="37"/>
      <c r="K20" s="246"/>
      <c r="L20" s="258">
        <f t="shared" si="2"/>
        <v>26967</v>
      </c>
    </row>
    <row r="21" spans="1:12" x14ac:dyDescent="0.3">
      <c r="A21" s="32">
        <v>46056</v>
      </c>
      <c r="B21" s="234" t="s">
        <v>33</v>
      </c>
      <c r="C21" s="244"/>
      <c r="D21" s="236">
        <v>2000</v>
      </c>
      <c r="E21" s="231"/>
      <c r="F21" s="54">
        <f>+F20+C21+D21-E21</f>
        <v>2742</v>
      </c>
      <c r="G21" s="240"/>
      <c r="H21" s="226">
        <v>0</v>
      </c>
      <c r="I21" s="62">
        <f t="shared" si="0"/>
        <v>0</v>
      </c>
      <c r="J21" s="247"/>
      <c r="K21" s="246"/>
      <c r="L21" s="67">
        <f>+L20+J21-K21</f>
        <v>26967</v>
      </c>
    </row>
    <row r="22" spans="1:12" x14ac:dyDescent="0.3">
      <c r="A22" s="32">
        <v>46056</v>
      </c>
      <c r="B22" s="234" t="s">
        <v>50</v>
      </c>
      <c r="C22" s="244"/>
      <c r="D22" s="236">
        <v>2000</v>
      </c>
      <c r="E22" s="231"/>
      <c r="F22" s="54">
        <f t="shared" ref="F22:F33" si="3">+F21+C22+D22-E22</f>
        <v>4742</v>
      </c>
      <c r="G22" s="241"/>
      <c r="H22" s="226"/>
      <c r="I22" s="62">
        <f t="shared" si="0"/>
        <v>0</v>
      </c>
      <c r="J22" s="229"/>
      <c r="K22" s="246"/>
      <c r="L22" s="67">
        <f t="shared" ref="L22:L33" si="4">+L21+J22-K22</f>
        <v>26967</v>
      </c>
    </row>
    <row r="23" spans="1:12" x14ac:dyDescent="0.3">
      <c r="A23" s="32">
        <v>46056</v>
      </c>
      <c r="B23" s="230" t="s">
        <v>255</v>
      </c>
      <c r="C23" s="244"/>
      <c r="D23" s="236"/>
      <c r="E23" s="231">
        <v>900</v>
      </c>
      <c r="F23" s="54">
        <f t="shared" si="3"/>
        <v>3842</v>
      </c>
      <c r="G23" s="241"/>
      <c r="H23" s="226"/>
      <c r="I23" s="62">
        <f t="shared" si="0"/>
        <v>0</v>
      </c>
      <c r="J23" s="130"/>
      <c r="K23" s="246">
        <v>10000</v>
      </c>
      <c r="L23" s="67">
        <f t="shared" si="4"/>
        <v>16967</v>
      </c>
    </row>
    <row r="24" spans="1:12" x14ac:dyDescent="0.3">
      <c r="A24" s="32">
        <v>46056</v>
      </c>
      <c r="B24" s="230" t="s">
        <v>256</v>
      </c>
      <c r="C24" s="244"/>
      <c r="D24" s="236"/>
      <c r="E24" s="231">
        <v>220</v>
      </c>
      <c r="F24" s="54">
        <f t="shared" si="3"/>
        <v>3622</v>
      </c>
      <c r="G24" s="241"/>
      <c r="H24" s="280"/>
      <c r="I24" s="62">
        <f t="shared" si="0"/>
        <v>0</v>
      </c>
      <c r="J24" s="37"/>
      <c r="K24" s="246"/>
      <c r="L24" s="67">
        <f t="shared" si="4"/>
        <v>16967</v>
      </c>
    </row>
    <row r="25" spans="1:12" x14ac:dyDescent="0.3">
      <c r="A25" s="32">
        <v>46056</v>
      </c>
      <c r="B25" s="230" t="s">
        <v>53</v>
      </c>
      <c r="C25" s="244"/>
      <c r="D25" s="236"/>
      <c r="E25" s="231">
        <v>120</v>
      </c>
      <c r="F25" s="54">
        <f t="shared" si="3"/>
        <v>3502</v>
      </c>
      <c r="G25" s="240"/>
      <c r="H25" s="226"/>
      <c r="I25" s="62">
        <f t="shared" si="0"/>
        <v>0</v>
      </c>
      <c r="J25" s="229"/>
      <c r="K25" s="246"/>
      <c r="L25" s="67">
        <f t="shared" si="4"/>
        <v>16967</v>
      </c>
    </row>
    <row r="26" spans="1:12" x14ac:dyDescent="0.3">
      <c r="A26" s="32">
        <v>46056</v>
      </c>
      <c r="B26" s="230" t="s">
        <v>257</v>
      </c>
      <c r="C26" s="244"/>
      <c r="D26" s="236"/>
      <c r="E26" s="231">
        <v>350</v>
      </c>
      <c r="F26" s="54">
        <f t="shared" si="3"/>
        <v>3152</v>
      </c>
      <c r="G26" s="240"/>
      <c r="H26" s="226"/>
      <c r="I26" s="62">
        <f t="shared" si="0"/>
        <v>0</v>
      </c>
      <c r="J26" s="264"/>
      <c r="K26" s="246"/>
      <c r="L26" s="67">
        <f t="shared" si="4"/>
        <v>16967</v>
      </c>
    </row>
    <row r="27" spans="1:12" x14ac:dyDescent="0.3">
      <c r="A27" s="32">
        <v>46056</v>
      </c>
      <c r="B27" s="230" t="s">
        <v>258</v>
      </c>
      <c r="C27" s="244"/>
      <c r="D27" s="236"/>
      <c r="E27" s="231">
        <v>900</v>
      </c>
      <c r="F27" s="54">
        <f t="shared" si="3"/>
        <v>2252</v>
      </c>
      <c r="G27" s="240"/>
      <c r="H27" s="228"/>
      <c r="I27" s="62">
        <f t="shared" si="0"/>
        <v>0</v>
      </c>
      <c r="J27" s="264"/>
      <c r="K27" s="246"/>
      <c r="L27" s="67">
        <f t="shared" si="4"/>
        <v>16967</v>
      </c>
    </row>
    <row r="28" spans="1:12" x14ac:dyDescent="0.3">
      <c r="A28" s="32">
        <v>46056</v>
      </c>
      <c r="B28" s="230" t="s">
        <v>259</v>
      </c>
      <c r="C28" s="244"/>
      <c r="D28" s="236"/>
      <c r="E28" s="231">
        <v>1100</v>
      </c>
      <c r="F28" s="54">
        <f t="shared" si="3"/>
        <v>1152</v>
      </c>
      <c r="G28" s="241"/>
      <c r="H28" s="226"/>
      <c r="I28" s="62">
        <f t="shared" si="0"/>
        <v>0</v>
      </c>
      <c r="J28" s="233"/>
      <c r="K28" s="246"/>
      <c r="L28" s="67">
        <f t="shared" si="4"/>
        <v>16967</v>
      </c>
    </row>
    <row r="29" spans="1:12" x14ac:dyDescent="0.3">
      <c r="A29" s="32">
        <v>46056</v>
      </c>
      <c r="B29" s="230" t="s">
        <v>260</v>
      </c>
      <c r="C29" s="244"/>
      <c r="D29" s="236"/>
      <c r="E29" s="231">
        <v>30</v>
      </c>
      <c r="F29" s="54">
        <f t="shared" si="3"/>
        <v>1122</v>
      </c>
      <c r="G29" s="240"/>
      <c r="H29" s="226"/>
      <c r="I29" s="62">
        <f t="shared" si="0"/>
        <v>0</v>
      </c>
      <c r="J29" s="271"/>
      <c r="K29" s="246"/>
      <c r="L29" s="67">
        <f t="shared" si="4"/>
        <v>16967</v>
      </c>
    </row>
    <row r="30" spans="1:12" x14ac:dyDescent="0.3">
      <c r="A30" s="32">
        <v>46056</v>
      </c>
      <c r="B30" s="230" t="s">
        <v>261</v>
      </c>
      <c r="C30" s="244"/>
      <c r="D30" s="236"/>
      <c r="E30" s="231">
        <v>100</v>
      </c>
      <c r="F30" s="54">
        <f t="shared" si="3"/>
        <v>1022</v>
      </c>
      <c r="G30" s="240"/>
      <c r="H30" s="226"/>
      <c r="I30" s="62">
        <f t="shared" si="0"/>
        <v>0</v>
      </c>
      <c r="J30" s="264"/>
      <c r="K30" s="246"/>
      <c r="L30" s="67">
        <f t="shared" si="4"/>
        <v>16967</v>
      </c>
    </row>
    <row r="31" spans="1:12" x14ac:dyDescent="0.3">
      <c r="A31" s="32">
        <v>46056</v>
      </c>
      <c r="B31" s="230" t="s">
        <v>18</v>
      </c>
      <c r="C31" s="244"/>
      <c r="D31" s="236"/>
      <c r="E31" s="231">
        <v>150</v>
      </c>
      <c r="F31" s="54">
        <f t="shared" si="3"/>
        <v>872</v>
      </c>
      <c r="G31" s="240"/>
      <c r="H31" s="226"/>
      <c r="I31" s="62">
        <f t="shared" si="0"/>
        <v>0</v>
      </c>
      <c r="J31" s="248"/>
      <c r="K31" s="246"/>
      <c r="L31" s="67">
        <f t="shared" si="4"/>
        <v>16967</v>
      </c>
    </row>
    <row r="32" spans="1:12" x14ac:dyDescent="0.3">
      <c r="A32" s="32">
        <v>46056</v>
      </c>
      <c r="B32" s="230" t="s">
        <v>262</v>
      </c>
      <c r="C32" s="244"/>
      <c r="D32" s="236"/>
      <c r="E32" s="231">
        <v>100</v>
      </c>
      <c r="F32" s="54">
        <f t="shared" si="3"/>
        <v>772</v>
      </c>
      <c r="G32" s="240"/>
      <c r="H32" s="226"/>
      <c r="I32" s="62">
        <f t="shared" si="0"/>
        <v>0</v>
      </c>
      <c r="J32" s="248"/>
      <c r="K32" s="246"/>
      <c r="L32" s="67">
        <f t="shared" si="4"/>
        <v>16967</v>
      </c>
    </row>
    <row r="33" spans="1:12" s="225" customFormat="1" x14ac:dyDescent="0.3">
      <c r="A33" s="32">
        <v>46056</v>
      </c>
      <c r="B33" s="230" t="s">
        <v>46</v>
      </c>
      <c r="C33" s="244"/>
      <c r="D33" s="236"/>
      <c r="E33" s="231">
        <v>100</v>
      </c>
      <c r="F33" s="54">
        <f t="shared" si="3"/>
        <v>672</v>
      </c>
      <c r="G33" s="241"/>
      <c r="H33" s="226"/>
      <c r="I33" s="62">
        <f t="shared" si="0"/>
        <v>0</v>
      </c>
      <c r="J33" s="271"/>
      <c r="K33" s="246"/>
      <c r="L33" s="67">
        <f t="shared" si="4"/>
        <v>16967</v>
      </c>
    </row>
    <row r="34" spans="1:12" x14ac:dyDescent="0.3">
      <c r="A34" s="32">
        <v>46057</v>
      </c>
      <c r="B34" s="234" t="s">
        <v>33</v>
      </c>
      <c r="C34" s="244"/>
      <c r="D34" s="236">
        <v>1500</v>
      </c>
      <c r="E34" s="231"/>
      <c r="F34" s="54">
        <f>+F33+C34+D34-E34</f>
        <v>2172</v>
      </c>
      <c r="G34" s="240"/>
      <c r="H34" s="226">
        <v>0</v>
      </c>
      <c r="I34" s="62">
        <f t="shared" si="0"/>
        <v>0</v>
      </c>
      <c r="J34" s="247"/>
      <c r="K34" s="246"/>
      <c r="L34" s="67">
        <f>+L33+J34-K34</f>
        <v>16967</v>
      </c>
    </row>
    <row r="35" spans="1:12" x14ac:dyDescent="0.3">
      <c r="A35" s="32">
        <v>46057</v>
      </c>
      <c r="B35" s="234" t="s">
        <v>50</v>
      </c>
      <c r="C35" s="244"/>
      <c r="D35" s="236">
        <v>2500</v>
      </c>
      <c r="E35" s="231"/>
      <c r="F35" s="54">
        <f t="shared" ref="F35:F43" si="5">+F34+C35+D35-E35</f>
        <v>4672</v>
      </c>
      <c r="G35" s="241"/>
      <c r="H35" s="226"/>
      <c r="I35" s="62">
        <f t="shared" si="0"/>
        <v>0</v>
      </c>
      <c r="J35" s="229"/>
      <c r="K35" s="246"/>
      <c r="L35" s="67">
        <f t="shared" ref="L35:L43" si="6">+L34+J35-K35</f>
        <v>16967</v>
      </c>
    </row>
    <row r="36" spans="1:12" x14ac:dyDescent="0.3">
      <c r="A36" s="32">
        <v>46057</v>
      </c>
      <c r="B36" s="232" t="s">
        <v>263</v>
      </c>
      <c r="C36" s="244"/>
      <c r="D36" s="236"/>
      <c r="E36" s="231">
        <v>2250</v>
      </c>
      <c r="F36" s="54">
        <f t="shared" si="5"/>
        <v>2422</v>
      </c>
      <c r="G36" s="241"/>
      <c r="H36" s="226"/>
      <c r="I36" s="62">
        <f t="shared" si="0"/>
        <v>0</v>
      </c>
      <c r="J36" s="130"/>
      <c r="K36" s="246">
        <v>10000</v>
      </c>
      <c r="L36" s="67">
        <f t="shared" si="6"/>
        <v>6967</v>
      </c>
    </row>
    <row r="37" spans="1:12" x14ac:dyDescent="0.3">
      <c r="A37" s="32">
        <v>46057</v>
      </c>
      <c r="B37" s="230" t="s">
        <v>31</v>
      </c>
      <c r="C37" s="244"/>
      <c r="D37" s="236"/>
      <c r="E37" s="231">
        <v>10</v>
      </c>
      <c r="F37" s="54">
        <f t="shared" si="5"/>
        <v>2412</v>
      </c>
      <c r="G37" s="241"/>
      <c r="H37" s="280"/>
      <c r="I37" s="62">
        <f t="shared" si="0"/>
        <v>0</v>
      </c>
      <c r="J37" s="37"/>
      <c r="K37" s="246"/>
      <c r="L37" s="67">
        <f t="shared" si="6"/>
        <v>6967</v>
      </c>
    </row>
    <row r="38" spans="1:12" x14ac:dyDescent="0.3">
      <c r="A38" s="32">
        <v>46057</v>
      </c>
      <c r="B38" s="230" t="s">
        <v>264</v>
      </c>
      <c r="C38" s="244"/>
      <c r="D38" s="236"/>
      <c r="E38" s="231"/>
      <c r="F38" s="54">
        <f t="shared" si="5"/>
        <v>2412</v>
      </c>
      <c r="G38" s="240"/>
      <c r="H38" s="226"/>
      <c r="I38" s="62">
        <f t="shared" si="0"/>
        <v>0</v>
      </c>
      <c r="J38" s="229"/>
      <c r="K38" s="246">
        <v>5000</v>
      </c>
      <c r="L38" s="67">
        <f t="shared" si="6"/>
        <v>1967</v>
      </c>
    </row>
    <row r="39" spans="1:12" x14ac:dyDescent="0.3">
      <c r="A39" s="32">
        <v>46057</v>
      </c>
      <c r="B39" s="230" t="s">
        <v>265</v>
      </c>
      <c r="C39" s="244"/>
      <c r="D39" s="236"/>
      <c r="E39" s="231">
        <v>635</v>
      </c>
      <c r="F39" s="54">
        <f t="shared" si="5"/>
        <v>1777</v>
      </c>
      <c r="G39" s="240"/>
      <c r="H39" s="226"/>
      <c r="I39" s="62">
        <f t="shared" si="0"/>
        <v>0</v>
      </c>
      <c r="J39" s="264"/>
      <c r="K39" s="246"/>
      <c r="L39" s="67">
        <f t="shared" si="6"/>
        <v>1967</v>
      </c>
    </row>
    <row r="40" spans="1:12" x14ac:dyDescent="0.3">
      <c r="A40" s="32">
        <v>46057</v>
      </c>
      <c r="B40" s="230" t="s">
        <v>266</v>
      </c>
      <c r="C40" s="244"/>
      <c r="D40" s="236"/>
      <c r="E40" s="231">
        <v>632</v>
      </c>
      <c r="F40" s="54">
        <f t="shared" si="5"/>
        <v>1145</v>
      </c>
      <c r="G40" s="240"/>
      <c r="H40" s="228"/>
      <c r="I40" s="62">
        <f t="shared" si="0"/>
        <v>0</v>
      </c>
      <c r="J40" s="264"/>
      <c r="K40" s="246"/>
      <c r="L40" s="67">
        <f t="shared" si="6"/>
        <v>1967</v>
      </c>
    </row>
    <row r="41" spans="1:12" x14ac:dyDescent="0.3">
      <c r="A41" s="32">
        <v>46057</v>
      </c>
      <c r="B41" s="222" t="s">
        <v>23</v>
      </c>
      <c r="C41" s="244"/>
      <c r="D41" s="236"/>
      <c r="E41" s="231">
        <v>100</v>
      </c>
      <c r="F41" s="54">
        <f t="shared" si="5"/>
        <v>1045</v>
      </c>
      <c r="G41" s="241"/>
      <c r="H41" s="226"/>
      <c r="I41" s="62">
        <f t="shared" si="0"/>
        <v>0</v>
      </c>
      <c r="J41" s="233">
        <v>220000</v>
      </c>
      <c r="K41" s="246"/>
      <c r="L41" s="67">
        <f t="shared" si="6"/>
        <v>221967</v>
      </c>
    </row>
    <row r="42" spans="1:12" x14ac:dyDescent="0.3">
      <c r="A42" s="32">
        <v>46057</v>
      </c>
      <c r="B42" s="230" t="s">
        <v>267</v>
      </c>
      <c r="C42" s="244"/>
      <c r="D42" s="236"/>
      <c r="E42" s="231">
        <v>500</v>
      </c>
      <c r="F42" s="54">
        <f t="shared" si="5"/>
        <v>545</v>
      </c>
      <c r="G42" s="240"/>
      <c r="H42" s="226"/>
      <c r="I42" s="62">
        <f t="shared" si="0"/>
        <v>0</v>
      </c>
      <c r="J42" s="271"/>
      <c r="K42" s="246">
        <v>150000</v>
      </c>
      <c r="L42" s="67">
        <f t="shared" si="6"/>
        <v>71967</v>
      </c>
    </row>
    <row r="43" spans="1:12" x14ac:dyDescent="0.3">
      <c r="A43" s="32">
        <v>46057</v>
      </c>
      <c r="B43" s="232" t="s">
        <v>268</v>
      </c>
      <c r="C43" s="244">
        <v>50</v>
      </c>
      <c r="D43" s="236"/>
      <c r="E43" s="231"/>
      <c r="F43" s="54">
        <f t="shared" si="5"/>
        <v>595</v>
      </c>
      <c r="G43" s="240"/>
      <c r="H43" s="226"/>
      <c r="I43" s="62">
        <f t="shared" si="0"/>
        <v>0</v>
      </c>
      <c r="J43" s="264"/>
      <c r="K43" s="246"/>
      <c r="L43" s="67">
        <f t="shared" si="6"/>
        <v>71967</v>
      </c>
    </row>
    <row r="44" spans="1:12" x14ac:dyDescent="0.3">
      <c r="A44" s="32">
        <v>46058</v>
      </c>
      <c r="B44" s="234" t="s">
        <v>16</v>
      </c>
      <c r="C44" s="244"/>
      <c r="D44" s="236">
        <v>1000</v>
      </c>
      <c r="E44" s="231"/>
      <c r="F44" s="54">
        <f>+F43+C44+D44-E44</f>
        <v>1595</v>
      </c>
      <c r="G44" s="240"/>
      <c r="H44" s="226">
        <v>0</v>
      </c>
      <c r="I44" s="62">
        <f t="shared" si="0"/>
        <v>0</v>
      </c>
      <c r="J44" s="247"/>
      <c r="K44" s="246"/>
      <c r="L44" s="67">
        <f>+L43+J44-K44</f>
        <v>71967</v>
      </c>
    </row>
    <row r="45" spans="1:12" x14ac:dyDescent="0.3">
      <c r="A45" s="32">
        <v>46058</v>
      </c>
      <c r="B45" s="230" t="s">
        <v>20</v>
      </c>
      <c r="C45" s="244"/>
      <c r="D45" s="236"/>
      <c r="E45" s="231">
        <v>100</v>
      </c>
      <c r="F45" s="54">
        <f t="shared" ref="F45:F56" si="7">+F44+C45+D45-E45</f>
        <v>1495</v>
      </c>
      <c r="G45" s="241"/>
      <c r="H45" s="226"/>
      <c r="I45" s="62">
        <f t="shared" si="0"/>
        <v>0</v>
      </c>
      <c r="J45" s="229"/>
      <c r="K45" s="246"/>
      <c r="L45" s="67">
        <f t="shared" ref="L45:L56" si="8">+L44+J45-K45</f>
        <v>71967</v>
      </c>
    </row>
    <row r="46" spans="1:12" x14ac:dyDescent="0.3">
      <c r="A46" s="32">
        <v>46058</v>
      </c>
      <c r="B46" s="230" t="s">
        <v>269</v>
      </c>
      <c r="C46" s="244"/>
      <c r="D46" s="236"/>
      <c r="E46" s="231"/>
      <c r="F46" s="54">
        <f t="shared" si="7"/>
        <v>1495</v>
      </c>
      <c r="G46" s="241"/>
      <c r="H46" s="226"/>
      <c r="I46" s="62">
        <f t="shared" si="0"/>
        <v>0</v>
      </c>
      <c r="J46" s="130"/>
      <c r="K46" s="246">
        <v>10000</v>
      </c>
      <c r="L46" s="67">
        <f t="shared" si="8"/>
        <v>61967</v>
      </c>
    </row>
    <row r="47" spans="1:12" x14ac:dyDescent="0.3">
      <c r="A47" s="32">
        <v>46058</v>
      </c>
      <c r="B47" s="230" t="s">
        <v>55</v>
      </c>
      <c r="C47" s="244"/>
      <c r="D47" s="236"/>
      <c r="E47" s="231"/>
      <c r="F47" s="54">
        <f t="shared" si="7"/>
        <v>1495</v>
      </c>
      <c r="G47" s="241"/>
      <c r="H47" s="280"/>
      <c r="I47" s="62">
        <f t="shared" si="0"/>
        <v>0</v>
      </c>
      <c r="J47" s="37"/>
      <c r="K47" s="246">
        <v>10000</v>
      </c>
      <c r="L47" s="67">
        <f t="shared" si="8"/>
        <v>51967</v>
      </c>
    </row>
    <row r="48" spans="1:12" x14ac:dyDescent="0.3">
      <c r="A48" s="32">
        <v>46058</v>
      </c>
      <c r="B48" s="230" t="s">
        <v>270</v>
      </c>
      <c r="C48" s="244"/>
      <c r="D48" s="236"/>
      <c r="E48" s="231">
        <v>150</v>
      </c>
      <c r="F48" s="54">
        <f t="shared" si="7"/>
        <v>1345</v>
      </c>
      <c r="G48" s="240"/>
      <c r="H48" s="226"/>
      <c r="I48" s="62">
        <f t="shared" si="0"/>
        <v>0</v>
      </c>
      <c r="J48" s="229"/>
      <c r="K48" s="246"/>
      <c r="L48" s="67">
        <f t="shared" si="8"/>
        <v>51967</v>
      </c>
    </row>
    <row r="49" spans="1:12" x14ac:dyDescent="0.3">
      <c r="A49" s="32">
        <v>46058</v>
      </c>
      <c r="B49" s="232" t="s">
        <v>271</v>
      </c>
      <c r="C49" s="244"/>
      <c r="D49" s="236"/>
      <c r="E49" s="231">
        <v>900</v>
      </c>
      <c r="F49" s="54">
        <f t="shared" si="7"/>
        <v>445</v>
      </c>
      <c r="G49" s="240"/>
      <c r="H49" s="226"/>
      <c r="I49" s="62">
        <f t="shared" si="0"/>
        <v>0</v>
      </c>
      <c r="J49" s="264"/>
      <c r="K49" s="246"/>
      <c r="L49" s="67">
        <f t="shared" si="8"/>
        <v>51967</v>
      </c>
    </row>
    <row r="50" spans="1:12" x14ac:dyDescent="0.3">
      <c r="A50" s="32">
        <v>46058</v>
      </c>
      <c r="B50" s="222" t="s">
        <v>23</v>
      </c>
      <c r="C50" s="244"/>
      <c r="D50" s="236"/>
      <c r="E50" s="231">
        <v>100</v>
      </c>
      <c r="F50" s="54">
        <f t="shared" si="7"/>
        <v>345</v>
      </c>
      <c r="G50" s="240"/>
      <c r="H50" s="228"/>
      <c r="I50" s="62">
        <f t="shared" si="0"/>
        <v>0</v>
      </c>
      <c r="J50" s="266">
        <v>220000</v>
      </c>
      <c r="K50" s="246"/>
      <c r="L50" s="67">
        <f t="shared" si="8"/>
        <v>271967</v>
      </c>
    </row>
    <row r="51" spans="1:12" x14ac:dyDescent="0.3">
      <c r="A51" s="32">
        <v>46058</v>
      </c>
      <c r="B51" s="232" t="s">
        <v>272</v>
      </c>
      <c r="C51" s="244"/>
      <c r="D51" s="236"/>
      <c r="E51" s="231"/>
      <c r="F51" s="54">
        <f t="shared" si="7"/>
        <v>345</v>
      </c>
      <c r="G51" s="241"/>
      <c r="H51" s="226"/>
      <c r="I51" s="62">
        <f t="shared" si="0"/>
        <v>0</v>
      </c>
      <c r="J51" s="233"/>
      <c r="K51" s="246">
        <v>90000</v>
      </c>
      <c r="L51" s="67">
        <f t="shared" si="8"/>
        <v>181967</v>
      </c>
    </row>
    <row r="52" spans="1:12" x14ac:dyDescent="0.3">
      <c r="A52" s="32">
        <v>46058</v>
      </c>
      <c r="B52" s="230" t="s">
        <v>68</v>
      </c>
      <c r="C52" s="244"/>
      <c r="D52" s="236"/>
      <c r="E52" s="231"/>
      <c r="F52" s="54">
        <f t="shared" si="7"/>
        <v>345</v>
      </c>
      <c r="G52" s="240"/>
      <c r="H52" s="226"/>
      <c r="I52" s="62">
        <f t="shared" si="0"/>
        <v>0</v>
      </c>
      <c r="J52" s="271"/>
      <c r="K52" s="246">
        <v>10000</v>
      </c>
      <c r="L52" s="67">
        <f t="shared" si="8"/>
        <v>171967</v>
      </c>
    </row>
    <row r="53" spans="1:12" x14ac:dyDescent="0.3">
      <c r="A53" s="32">
        <v>46058</v>
      </c>
      <c r="B53" s="230" t="s">
        <v>273</v>
      </c>
      <c r="C53" s="244"/>
      <c r="D53" s="236"/>
      <c r="E53" s="231">
        <v>10</v>
      </c>
      <c r="F53" s="54">
        <f t="shared" si="7"/>
        <v>335</v>
      </c>
      <c r="G53" s="240"/>
      <c r="H53" s="226"/>
      <c r="I53" s="62">
        <f t="shared" si="0"/>
        <v>0</v>
      </c>
      <c r="J53" s="264"/>
      <c r="K53" s="246"/>
      <c r="L53" s="67">
        <f t="shared" si="8"/>
        <v>171967</v>
      </c>
    </row>
    <row r="54" spans="1:12" x14ac:dyDescent="0.3">
      <c r="A54" s="32">
        <v>46058</v>
      </c>
      <c r="B54" s="230" t="s">
        <v>274</v>
      </c>
      <c r="C54" s="244"/>
      <c r="D54" s="236"/>
      <c r="E54" s="231">
        <v>298</v>
      </c>
      <c r="F54" s="54">
        <f t="shared" si="7"/>
        <v>37</v>
      </c>
      <c r="G54" s="240"/>
      <c r="H54" s="226"/>
      <c r="I54" s="62">
        <f t="shared" si="0"/>
        <v>0</v>
      </c>
      <c r="J54" s="248"/>
      <c r="K54" s="246"/>
      <c r="L54" s="67">
        <f t="shared" si="8"/>
        <v>171967</v>
      </c>
    </row>
    <row r="55" spans="1:12" x14ac:dyDescent="0.3">
      <c r="A55" s="32">
        <v>46058</v>
      </c>
      <c r="B55" s="232" t="s">
        <v>275</v>
      </c>
      <c r="C55" s="244">
        <v>350</v>
      </c>
      <c r="D55" s="236"/>
      <c r="E55" s="231"/>
      <c r="F55" s="54">
        <f t="shared" si="7"/>
        <v>387</v>
      </c>
      <c r="G55" s="240"/>
      <c r="H55" s="226"/>
      <c r="I55" s="62">
        <f t="shared" si="0"/>
        <v>0</v>
      </c>
      <c r="J55" s="248"/>
      <c r="K55" s="246"/>
      <c r="L55" s="67">
        <f t="shared" si="8"/>
        <v>171967</v>
      </c>
    </row>
    <row r="56" spans="1:12" x14ac:dyDescent="0.3">
      <c r="A56" s="32">
        <v>46058</v>
      </c>
      <c r="B56" s="232" t="s">
        <v>276</v>
      </c>
      <c r="C56" s="244">
        <v>175</v>
      </c>
      <c r="D56" s="236"/>
      <c r="E56" s="231"/>
      <c r="F56" s="54">
        <f t="shared" si="7"/>
        <v>562</v>
      </c>
      <c r="G56" s="241"/>
      <c r="H56" s="226"/>
      <c r="I56" s="62">
        <f t="shared" si="0"/>
        <v>0</v>
      </c>
      <c r="J56" s="271"/>
      <c r="K56" s="246"/>
      <c r="L56" s="67">
        <f t="shared" si="8"/>
        <v>171967</v>
      </c>
    </row>
    <row r="57" spans="1:12" x14ac:dyDescent="0.3">
      <c r="A57" s="32">
        <v>46059</v>
      </c>
      <c r="B57" s="230" t="s">
        <v>70</v>
      </c>
      <c r="C57" s="244"/>
      <c r="D57" s="236"/>
      <c r="E57" s="231">
        <v>50</v>
      </c>
      <c r="F57" s="54">
        <f>+F56+C57+D57-E57</f>
        <v>512</v>
      </c>
      <c r="G57" s="240"/>
      <c r="H57" s="226">
        <v>0</v>
      </c>
      <c r="I57" s="62">
        <f t="shared" si="0"/>
        <v>0</v>
      </c>
      <c r="J57" s="247"/>
      <c r="K57" s="246"/>
      <c r="L57" s="67">
        <f>+L56+J57-K57</f>
        <v>171967</v>
      </c>
    </row>
    <row r="58" spans="1:12" x14ac:dyDescent="0.3">
      <c r="A58" s="32">
        <v>46059</v>
      </c>
      <c r="B58" s="230" t="s">
        <v>277</v>
      </c>
      <c r="C58" s="244"/>
      <c r="D58" s="236"/>
      <c r="E58" s="231">
        <v>207</v>
      </c>
      <c r="F58" s="54">
        <f t="shared" ref="F58:F61" si="9">+F57+C58+D58-E58</f>
        <v>305</v>
      </c>
      <c r="G58" s="241"/>
      <c r="H58" s="226"/>
      <c r="I58" s="62">
        <f t="shared" si="0"/>
        <v>0</v>
      </c>
      <c r="J58" s="229"/>
      <c r="K58" s="246"/>
      <c r="L58" s="67">
        <f t="shared" ref="L58:L61" si="10">+L57+J58-K58</f>
        <v>171967</v>
      </c>
    </row>
    <row r="59" spans="1:12" x14ac:dyDescent="0.3">
      <c r="A59" s="32">
        <v>46059</v>
      </c>
      <c r="B59" s="230" t="s">
        <v>278</v>
      </c>
      <c r="C59" s="244"/>
      <c r="D59" s="236"/>
      <c r="E59" s="231">
        <v>135</v>
      </c>
      <c r="F59" s="54">
        <f t="shared" si="9"/>
        <v>170</v>
      </c>
      <c r="G59" s="241"/>
      <c r="H59" s="226"/>
      <c r="I59" s="62">
        <f t="shared" si="0"/>
        <v>0</v>
      </c>
      <c r="J59" s="130"/>
      <c r="K59" s="246"/>
      <c r="L59" s="67">
        <f t="shared" si="10"/>
        <v>171967</v>
      </c>
    </row>
    <row r="60" spans="1:12" x14ac:dyDescent="0.3">
      <c r="A60" s="32">
        <v>46059</v>
      </c>
      <c r="B60" s="230" t="s">
        <v>52</v>
      </c>
      <c r="C60" s="244"/>
      <c r="D60" s="236"/>
      <c r="E60" s="231"/>
      <c r="F60" s="54">
        <f t="shared" si="9"/>
        <v>170</v>
      </c>
      <c r="G60" s="241"/>
      <c r="H60" s="280"/>
      <c r="I60" s="62">
        <f t="shared" si="0"/>
        <v>0</v>
      </c>
      <c r="J60" s="37"/>
      <c r="K60" s="246">
        <v>10000</v>
      </c>
      <c r="L60" s="67">
        <f t="shared" si="10"/>
        <v>161967</v>
      </c>
    </row>
    <row r="61" spans="1:12" x14ac:dyDescent="0.3">
      <c r="A61" s="32">
        <v>46059</v>
      </c>
      <c r="B61" s="230" t="s">
        <v>279</v>
      </c>
      <c r="C61" s="244"/>
      <c r="D61" s="236"/>
      <c r="E61" s="231">
        <v>70</v>
      </c>
      <c r="F61" s="54">
        <f t="shared" si="9"/>
        <v>100</v>
      </c>
      <c r="G61" s="240"/>
      <c r="H61" s="226"/>
      <c r="I61" s="62">
        <f t="shared" si="0"/>
        <v>0</v>
      </c>
      <c r="J61" s="229"/>
      <c r="K61" s="246"/>
      <c r="L61" s="67">
        <f t="shared" si="10"/>
        <v>161967</v>
      </c>
    </row>
    <row r="62" spans="1:12" x14ac:dyDescent="0.3">
      <c r="A62" s="32">
        <v>46062</v>
      </c>
      <c r="B62" s="234" t="s">
        <v>33</v>
      </c>
      <c r="C62" s="244"/>
      <c r="D62" s="236">
        <v>9500</v>
      </c>
      <c r="E62" s="231"/>
      <c r="F62" s="54">
        <f>+F61+C62+D62-E62</f>
        <v>9600</v>
      </c>
      <c r="G62" s="240"/>
      <c r="H62" s="226">
        <v>0</v>
      </c>
      <c r="I62" s="62">
        <f t="shared" si="0"/>
        <v>0</v>
      </c>
      <c r="J62" s="247"/>
      <c r="K62" s="246"/>
      <c r="L62" s="67">
        <f>+L61+J62-K62</f>
        <v>161967</v>
      </c>
    </row>
    <row r="63" spans="1:12" x14ac:dyDescent="0.3">
      <c r="A63" s="32">
        <v>46062</v>
      </c>
      <c r="B63" s="222" t="s">
        <v>23</v>
      </c>
      <c r="C63" s="244"/>
      <c r="D63" s="236"/>
      <c r="E63" s="231">
        <v>6100</v>
      </c>
      <c r="F63" s="54">
        <f t="shared" ref="F63:F85" si="11">+F62+C63+D63-E63</f>
        <v>3500</v>
      </c>
      <c r="G63" s="241"/>
      <c r="H63" s="226"/>
      <c r="I63" s="62">
        <f t="shared" si="0"/>
        <v>0</v>
      </c>
      <c r="J63" s="229">
        <v>14030000</v>
      </c>
      <c r="K63" s="246"/>
      <c r="L63" s="67">
        <f t="shared" ref="L63:L85" si="12">+L62+J63-K63</f>
        <v>14191967</v>
      </c>
    </row>
    <row r="64" spans="1:12" x14ac:dyDescent="0.3">
      <c r="A64" s="32">
        <v>46062</v>
      </c>
      <c r="B64" s="230" t="s">
        <v>280</v>
      </c>
      <c r="C64" s="244"/>
      <c r="D64" s="236"/>
      <c r="E64" s="231"/>
      <c r="F64" s="54">
        <f t="shared" si="11"/>
        <v>3500</v>
      </c>
      <c r="G64" s="241"/>
      <c r="H64" s="226"/>
      <c r="I64" s="62">
        <f t="shared" si="0"/>
        <v>0</v>
      </c>
      <c r="J64" s="130"/>
      <c r="K64" s="246">
        <v>2720000</v>
      </c>
      <c r="L64" s="67">
        <f t="shared" si="12"/>
        <v>11471967</v>
      </c>
    </row>
    <row r="65" spans="1:12" x14ac:dyDescent="0.3">
      <c r="A65" s="32">
        <v>46062</v>
      </c>
      <c r="B65" s="230" t="s">
        <v>281</v>
      </c>
      <c r="C65" s="244"/>
      <c r="D65" s="236"/>
      <c r="E65" s="231"/>
      <c r="F65" s="54">
        <f t="shared" si="11"/>
        <v>3500</v>
      </c>
      <c r="G65" s="241"/>
      <c r="H65" s="280"/>
      <c r="I65" s="62">
        <f t="shared" si="0"/>
        <v>0</v>
      </c>
      <c r="J65" s="37"/>
      <c r="K65" s="246">
        <v>2090000</v>
      </c>
      <c r="L65" s="67">
        <f t="shared" si="12"/>
        <v>9381967</v>
      </c>
    </row>
    <row r="66" spans="1:12" x14ac:dyDescent="0.3">
      <c r="A66" s="32">
        <v>46062</v>
      </c>
      <c r="B66" s="230" t="s">
        <v>282</v>
      </c>
      <c r="C66" s="244"/>
      <c r="D66" s="236"/>
      <c r="E66" s="231"/>
      <c r="F66" s="54">
        <f t="shared" si="11"/>
        <v>3500</v>
      </c>
      <c r="G66" s="240"/>
      <c r="H66" s="226"/>
      <c r="I66" s="62">
        <f t="shared" si="0"/>
        <v>0</v>
      </c>
      <c r="J66" s="229"/>
      <c r="K66" s="246">
        <v>5150000</v>
      </c>
      <c r="L66" s="67">
        <f t="shared" si="12"/>
        <v>4231967</v>
      </c>
    </row>
    <row r="67" spans="1:12" x14ac:dyDescent="0.3">
      <c r="A67" s="32">
        <v>46062</v>
      </c>
      <c r="B67" s="230" t="s">
        <v>283</v>
      </c>
      <c r="C67" s="244"/>
      <c r="D67" s="236"/>
      <c r="E67" s="231"/>
      <c r="F67" s="54">
        <f t="shared" si="11"/>
        <v>3500</v>
      </c>
      <c r="G67" s="240"/>
      <c r="H67" s="226"/>
      <c r="I67" s="62">
        <f t="shared" si="0"/>
        <v>0</v>
      </c>
      <c r="J67" s="264"/>
      <c r="K67" s="246">
        <v>2248500</v>
      </c>
      <c r="L67" s="67">
        <f t="shared" si="12"/>
        <v>1983467</v>
      </c>
    </row>
    <row r="68" spans="1:12" x14ac:dyDescent="0.3">
      <c r="A68" s="32">
        <v>46062</v>
      </c>
      <c r="B68" s="230" t="s">
        <v>284</v>
      </c>
      <c r="C68" s="244"/>
      <c r="D68" s="236"/>
      <c r="E68" s="231"/>
      <c r="F68" s="54">
        <f t="shared" si="11"/>
        <v>3500</v>
      </c>
      <c r="G68" s="240"/>
      <c r="H68" s="228"/>
      <c r="I68" s="62">
        <f t="shared" si="0"/>
        <v>0</v>
      </c>
      <c r="J68" s="266"/>
      <c r="K68" s="246">
        <v>1780500</v>
      </c>
      <c r="L68" s="67">
        <f t="shared" si="12"/>
        <v>202967</v>
      </c>
    </row>
    <row r="69" spans="1:12" x14ac:dyDescent="0.3">
      <c r="A69" s="32">
        <v>46062</v>
      </c>
      <c r="B69" s="232" t="s">
        <v>285</v>
      </c>
      <c r="C69" s="244"/>
      <c r="D69" s="236"/>
      <c r="E69" s="231">
        <v>15</v>
      </c>
      <c r="F69" s="54">
        <f t="shared" si="11"/>
        <v>3485</v>
      </c>
      <c r="G69" s="241"/>
      <c r="H69" s="226"/>
      <c r="I69" s="62">
        <f t="shared" si="0"/>
        <v>0</v>
      </c>
      <c r="J69" s="233"/>
      <c r="K69" s="246"/>
      <c r="L69" s="67">
        <f t="shared" si="12"/>
        <v>202967</v>
      </c>
    </row>
    <row r="70" spans="1:12" x14ac:dyDescent="0.3">
      <c r="A70" s="32">
        <v>46062</v>
      </c>
      <c r="B70" s="230" t="s">
        <v>286</v>
      </c>
      <c r="C70" s="244"/>
      <c r="D70" s="236"/>
      <c r="E70" s="231">
        <v>164</v>
      </c>
      <c r="F70" s="54">
        <f t="shared" si="11"/>
        <v>3321</v>
      </c>
      <c r="G70" s="240"/>
      <c r="H70" s="226"/>
      <c r="I70" s="62">
        <f t="shared" si="0"/>
        <v>0</v>
      </c>
      <c r="J70" s="271"/>
      <c r="K70" s="246"/>
      <c r="L70" s="67">
        <f t="shared" si="12"/>
        <v>202967</v>
      </c>
    </row>
    <row r="71" spans="1:12" x14ac:dyDescent="0.3">
      <c r="A71" s="32">
        <v>46062</v>
      </c>
      <c r="B71" s="230" t="s">
        <v>287</v>
      </c>
      <c r="C71" s="244"/>
      <c r="D71" s="236"/>
      <c r="E71" s="231">
        <v>909</v>
      </c>
      <c r="F71" s="54">
        <f t="shared" si="11"/>
        <v>2412</v>
      </c>
      <c r="G71" s="240"/>
      <c r="H71" s="226"/>
      <c r="I71" s="62">
        <f t="shared" ref="I71:I85" si="13">+I70+G71-H71</f>
        <v>0</v>
      </c>
      <c r="J71" s="264"/>
      <c r="K71" s="246"/>
      <c r="L71" s="67">
        <f t="shared" si="12"/>
        <v>202967</v>
      </c>
    </row>
    <row r="72" spans="1:12" x14ac:dyDescent="0.3">
      <c r="A72" s="32">
        <v>46062</v>
      </c>
      <c r="B72" s="230" t="s">
        <v>288</v>
      </c>
      <c r="C72" s="244"/>
      <c r="D72" s="236"/>
      <c r="E72" s="231">
        <v>298</v>
      </c>
      <c r="F72" s="54">
        <f t="shared" si="11"/>
        <v>2114</v>
      </c>
      <c r="G72" s="240"/>
      <c r="H72" s="226"/>
      <c r="I72" s="62">
        <f t="shared" si="13"/>
        <v>0</v>
      </c>
      <c r="J72" s="248"/>
      <c r="K72" s="246"/>
      <c r="L72" s="67">
        <f t="shared" si="12"/>
        <v>202967</v>
      </c>
    </row>
    <row r="73" spans="1:12" x14ac:dyDescent="0.3">
      <c r="A73" s="32">
        <v>46062</v>
      </c>
      <c r="B73" s="230" t="s">
        <v>289</v>
      </c>
      <c r="C73" s="244"/>
      <c r="D73" s="236"/>
      <c r="E73" s="231">
        <v>1500</v>
      </c>
      <c r="F73" s="54">
        <f t="shared" si="11"/>
        <v>614</v>
      </c>
      <c r="G73" s="240"/>
      <c r="H73" s="226"/>
      <c r="I73" s="62">
        <f t="shared" si="13"/>
        <v>0</v>
      </c>
      <c r="J73" s="248"/>
      <c r="K73" s="246"/>
      <c r="L73" s="67">
        <f t="shared" si="12"/>
        <v>202967</v>
      </c>
    </row>
    <row r="74" spans="1:12" x14ac:dyDescent="0.3">
      <c r="A74" s="32">
        <v>46062</v>
      </c>
      <c r="B74" s="230" t="s">
        <v>290</v>
      </c>
      <c r="C74" s="244"/>
      <c r="D74" s="236"/>
      <c r="E74" s="231">
        <v>45</v>
      </c>
      <c r="F74" s="54">
        <f t="shared" si="11"/>
        <v>569</v>
      </c>
      <c r="G74" s="241"/>
      <c r="H74" s="226"/>
      <c r="I74" s="62">
        <f t="shared" si="13"/>
        <v>0</v>
      </c>
      <c r="J74" s="271"/>
      <c r="K74" s="246"/>
      <c r="L74" s="67">
        <f t="shared" si="12"/>
        <v>202967</v>
      </c>
    </row>
    <row r="75" spans="1:12" x14ac:dyDescent="0.3">
      <c r="A75" s="32">
        <v>46062</v>
      </c>
      <c r="B75" s="230" t="s">
        <v>291</v>
      </c>
      <c r="C75" s="244"/>
      <c r="D75" s="236"/>
      <c r="E75" s="231">
        <v>52</v>
      </c>
      <c r="F75" s="54">
        <f t="shared" si="11"/>
        <v>517</v>
      </c>
      <c r="G75" s="241"/>
      <c r="H75" s="226"/>
      <c r="I75" s="62">
        <f t="shared" si="13"/>
        <v>0</v>
      </c>
      <c r="J75" s="248"/>
      <c r="K75" s="246"/>
      <c r="L75" s="67">
        <f t="shared" si="12"/>
        <v>202967</v>
      </c>
    </row>
    <row r="76" spans="1:12" x14ac:dyDescent="0.3">
      <c r="A76" s="32">
        <v>46062</v>
      </c>
      <c r="B76" s="230" t="s">
        <v>45</v>
      </c>
      <c r="C76" s="244"/>
      <c r="D76" s="236"/>
      <c r="E76" s="231">
        <v>80</v>
      </c>
      <c r="F76" s="54">
        <f t="shared" si="11"/>
        <v>437</v>
      </c>
      <c r="G76" s="242"/>
      <c r="H76" s="227"/>
      <c r="I76" s="62">
        <f t="shared" si="13"/>
        <v>0</v>
      </c>
      <c r="J76" s="37"/>
      <c r="K76" s="246"/>
      <c r="L76" s="67">
        <f t="shared" si="12"/>
        <v>202967</v>
      </c>
    </row>
    <row r="77" spans="1:12" x14ac:dyDescent="0.3">
      <c r="A77" s="32">
        <v>46062</v>
      </c>
      <c r="B77" s="230" t="s">
        <v>25</v>
      </c>
      <c r="C77" s="239"/>
      <c r="D77" s="236"/>
      <c r="E77" s="231">
        <v>20</v>
      </c>
      <c r="F77" s="54">
        <f t="shared" si="11"/>
        <v>417</v>
      </c>
      <c r="G77" s="243"/>
      <c r="H77" s="227"/>
      <c r="I77" s="62">
        <f t="shared" si="13"/>
        <v>0</v>
      </c>
      <c r="J77" s="264"/>
      <c r="K77" s="246"/>
      <c r="L77" s="67">
        <f t="shared" si="12"/>
        <v>202967</v>
      </c>
    </row>
    <row r="78" spans="1:12" x14ac:dyDescent="0.3">
      <c r="A78" s="32">
        <v>46062</v>
      </c>
      <c r="B78" s="230" t="s">
        <v>292</v>
      </c>
      <c r="C78" s="244"/>
      <c r="D78" s="236"/>
      <c r="E78" s="231">
        <v>40</v>
      </c>
      <c r="F78" s="54">
        <f t="shared" si="11"/>
        <v>377</v>
      </c>
      <c r="G78" s="223"/>
      <c r="H78" s="221"/>
      <c r="I78" s="62">
        <f t="shared" si="13"/>
        <v>0</v>
      </c>
      <c r="J78" s="271"/>
      <c r="K78" s="246"/>
      <c r="L78" s="67">
        <f t="shared" si="12"/>
        <v>202967</v>
      </c>
    </row>
    <row r="79" spans="1:12" x14ac:dyDescent="0.3">
      <c r="A79" s="32">
        <v>46062</v>
      </c>
      <c r="B79" s="230" t="s">
        <v>293</v>
      </c>
      <c r="C79" s="244"/>
      <c r="D79" s="236"/>
      <c r="E79" s="231"/>
      <c r="F79" s="54">
        <f t="shared" si="11"/>
        <v>377</v>
      </c>
      <c r="G79" s="223"/>
      <c r="H79" s="227"/>
      <c r="I79" s="62">
        <f t="shared" si="13"/>
        <v>0</v>
      </c>
      <c r="J79" s="271"/>
      <c r="K79" s="246">
        <v>40000</v>
      </c>
      <c r="L79" s="67">
        <f t="shared" si="12"/>
        <v>162967</v>
      </c>
    </row>
    <row r="80" spans="1:12" x14ac:dyDescent="0.3">
      <c r="A80" s="32">
        <v>46062</v>
      </c>
      <c r="B80" s="230" t="s">
        <v>294</v>
      </c>
      <c r="C80" s="244"/>
      <c r="D80" s="236"/>
      <c r="E80" s="231"/>
      <c r="F80" s="54">
        <f t="shared" si="11"/>
        <v>377</v>
      </c>
      <c r="G80" s="223"/>
      <c r="H80" s="227"/>
      <c r="I80" s="62">
        <f t="shared" si="13"/>
        <v>0</v>
      </c>
      <c r="J80" s="229"/>
      <c r="K80" s="246">
        <v>80000</v>
      </c>
      <c r="L80" s="67">
        <f t="shared" si="12"/>
        <v>82967</v>
      </c>
    </row>
    <row r="81" spans="1:12" x14ac:dyDescent="0.3">
      <c r="A81" s="32">
        <v>46062</v>
      </c>
      <c r="B81" s="230" t="s">
        <v>295</v>
      </c>
      <c r="C81" s="244"/>
      <c r="D81" s="236"/>
      <c r="E81" s="231">
        <v>28</v>
      </c>
      <c r="F81" s="54">
        <f t="shared" si="11"/>
        <v>349</v>
      </c>
      <c r="G81" s="223"/>
      <c r="H81" s="227"/>
      <c r="I81" s="62">
        <f t="shared" si="13"/>
        <v>0</v>
      </c>
      <c r="J81" s="65"/>
      <c r="K81" s="246"/>
      <c r="L81" s="67">
        <f t="shared" si="12"/>
        <v>82967</v>
      </c>
    </row>
    <row r="82" spans="1:12" x14ac:dyDescent="0.3">
      <c r="A82" s="32">
        <v>46062</v>
      </c>
      <c r="B82" s="230" t="s">
        <v>296</v>
      </c>
      <c r="C82" s="244"/>
      <c r="D82" s="236"/>
      <c r="E82" s="231">
        <v>145</v>
      </c>
      <c r="F82" s="54">
        <f t="shared" si="11"/>
        <v>204</v>
      </c>
      <c r="G82" s="223"/>
      <c r="H82" s="227"/>
      <c r="I82" s="62">
        <f t="shared" si="13"/>
        <v>0</v>
      </c>
      <c r="J82" s="65"/>
      <c r="K82" s="246"/>
      <c r="L82" s="67">
        <f t="shared" si="12"/>
        <v>82967</v>
      </c>
    </row>
    <row r="83" spans="1:12" x14ac:dyDescent="0.3">
      <c r="A83" s="32">
        <v>46062</v>
      </c>
      <c r="B83" s="230" t="s">
        <v>297</v>
      </c>
      <c r="C83" s="267"/>
      <c r="D83" s="235"/>
      <c r="E83" s="231">
        <v>50</v>
      </c>
      <c r="F83" s="54">
        <f t="shared" si="11"/>
        <v>154</v>
      </c>
      <c r="G83" s="223"/>
      <c r="H83" s="227"/>
      <c r="I83" s="62">
        <f t="shared" si="13"/>
        <v>0</v>
      </c>
      <c r="J83" s="248"/>
      <c r="K83" s="246"/>
      <c r="L83" s="67">
        <f t="shared" si="12"/>
        <v>82967</v>
      </c>
    </row>
    <row r="84" spans="1:12" x14ac:dyDescent="0.3">
      <c r="A84" s="32">
        <v>46062</v>
      </c>
      <c r="B84" s="230" t="s">
        <v>298</v>
      </c>
      <c r="C84" s="244"/>
      <c r="D84" s="235"/>
      <c r="E84" s="231"/>
      <c r="F84" s="54">
        <f t="shared" si="11"/>
        <v>154</v>
      </c>
      <c r="G84" s="223"/>
      <c r="H84" s="227"/>
      <c r="I84" s="62">
        <f t="shared" si="13"/>
        <v>0</v>
      </c>
      <c r="J84" s="248"/>
      <c r="K84" s="246">
        <v>20000</v>
      </c>
      <c r="L84" s="67">
        <f t="shared" si="12"/>
        <v>62967</v>
      </c>
    </row>
    <row r="85" spans="1:12" x14ac:dyDescent="0.3">
      <c r="A85" s="32">
        <v>46062</v>
      </c>
      <c r="B85" s="230" t="s">
        <v>17</v>
      </c>
      <c r="C85" s="245"/>
      <c r="D85" s="235"/>
      <c r="E85" s="231">
        <v>50</v>
      </c>
      <c r="F85" s="54">
        <f t="shared" si="11"/>
        <v>104</v>
      </c>
      <c r="G85" s="223"/>
      <c r="H85" s="227"/>
      <c r="I85" s="62">
        <f t="shared" si="13"/>
        <v>0</v>
      </c>
      <c r="J85" s="248"/>
      <c r="K85" s="246"/>
      <c r="L85" s="67">
        <f t="shared" si="12"/>
        <v>62967</v>
      </c>
    </row>
    <row r="86" spans="1:12" x14ac:dyDescent="0.3">
      <c r="A86" s="38"/>
      <c r="B86" s="230"/>
      <c r="C86" s="245"/>
      <c r="D86" s="237"/>
      <c r="E86" s="231"/>
      <c r="F86" s="107">
        <f t="shared" ref="F86" si="14">F85+C86+D86-E86</f>
        <v>104</v>
      </c>
      <c r="G86" s="240"/>
      <c r="H86" s="226"/>
      <c r="I86" s="255">
        <f t="shared" ref="I86" si="15">I85+G86-H86</f>
        <v>0</v>
      </c>
      <c r="J86" s="229"/>
      <c r="K86" s="246"/>
      <c r="L86" s="258">
        <f t="shared" ref="L86" si="16">L85+J86-K86</f>
        <v>62967</v>
      </c>
    </row>
    <row r="87" spans="1:12" x14ac:dyDescent="0.3">
      <c r="A87" s="32">
        <v>46063</v>
      </c>
      <c r="B87" s="230" t="s">
        <v>299</v>
      </c>
      <c r="C87" s="244"/>
      <c r="D87" s="236"/>
      <c r="E87" s="231">
        <v>70</v>
      </c>
      <c r="F87" s="54">
        <f>+F86+C87+D87-E87</f>
        <v>34</v>
      </c>
      <c r="G87" s="240"/>
      <c r="H87" s="226">
        <v>0</v>
      </c>
      <c r="I87" s="62">
        <f t="shared" ref="I87:I89" si="17">+I86+G87-H87</f>
        <v>0</v>
      </c>
      <c r="J87" s="247"/>
      <c r="K87" s="246"/>
      <c r="L87" s="67">
        <f>+L86+J87-K87</f>
        <v>62967</v>
      </c>
    </row>
    <row r="88" spans="1:12" x14ac:dyDescent="0.3">
      <c r="A88" s="32">
        <v>46063</v>
      </c>
      <c r="B88" s="230" t="s">
        <v>300</v>
      </c>
      <c r="C88" s="244"/>
      <c r="D88" s="236"/>
      <c r="E88" s="231">
        <v>10</v>
      </c>
      <c r="F88" s="54">
        <f t="shared" ref="F88:F89" si="18">+F87+C88+D88-E88</f>
        <v>24</v>
      </c>
      <c r="G88" s="241"/>
      <c r="H88" s="226"/>
      <c r="I88" s="62">
        <f t="shared" si="17"/>
        <v>0</v>
      </c>
      <c r="J88" s="229"/>
      <c r="K88" s="246"/>
      <c r="L88" s="67">
        <f t="shared" ref="L88:L89" si="19">+L87+J88-K88</f>
        <v>62967</v>
      </c>
    </row>
    <row r="89" spans="1:12" x14ac:dyDescent="0.3">
      <c r="A89" s="32"/>
      <c r="B89" s="230"/>
      <c r="C89" s="239"/>
      <c r="D89" s="236"/>
      <c r="E89" s="231"/>
      <c r="F89" s="54">
        <f t="shared" si="18"/>
        <v>24</v>
      </c>
      <c r="G89" s="240"/>
      <c r="H89" s="226"/>
      <c r="I89" s="62">
        <f t="shared" si="17"/>
        <v>0</v>
      </c>
      <c r="J89" s="247"/>
      <c r="K89" s="246"/>
      <c r="L89" s="67">
        <f t="shared" si="19"/>
        <v>62967</v>
      </c>
    </row>
    <row r="90" spans="1:12" x14ac:dyDescent="0.3">
      <c r="A90" s="32">
        <v>46064</v>
      </c>
      <c r="B90" s="234" t="s">
        <v>54</v>
      </c>
      <c r="C90" s="244"/>
      <c r="D90" s="236">
        <v>1500</v>
      </c>
      <c r="E90" s="231"/>
      <c r="F90" s="54">
        <f>+F89+C90+D90-E90</f>
        <v>1524</v>
      </c>
      <c r="G90" s="240"/>
      <c r="H90" s="226">
        <v>0</v>
      </c>
      <c r="I90" s="62">
        <f t="shared" ref="I90:I102" si="20">+I89+G90-H90</f>
        <v>0</v>
      </c>
      <c r="J90" s="247"/>
      <c r="K90" s="246"/>
      <c r="L90" s="67">
        <f>+L89+J90-K90</f>
        <v>62967</v>
      </c>
    </row>
    <row r="91" spans="1:12" x14ac:dyDescent="0.3">
      <c r="A91" s="32">
        <v>46064</v>
      </c>
      <c r="B91" s="222" t="s">
        <v>23</v>
      </c>
      <c r="C91" s="244"/>
      <c r="D91" s="236"/>
      <c r="E91" s="224">
        <v>100</v>
      </c>
      <c r="F91" s="54">
        <f t="shared" ref="F91:F102" si="21">+F90+C91+D91-E91</f>
        <v>1424</v>
      </c>
      <c r="G91" s="241"/>
      <c r="H91" s="226"/>
      <c r="I91" s="62">
        <f t="shared" si="20"/>
        <v>0</v>
      </c>
      <c r="J91" s="229">
        <v>225000</v>
      </c>
      <c r="K91" s="246"/>
      <c r="L91" s="67">
        <f t="shared" ref="L91:L102" si="22">+L90+J91-K91</f>
        <v>287967</v>
      </c>
    </row>
    <row r="92" spans="1:12" s="225" customFormat="1" x14ac:dyDescent="0.3">
      <c r="A92" s="32">
        <v>46063</v>
      </c>
      <c r="B92" s="230" t="s">
        <v>301</v>
      </c>
      <c r="C92" s="244"/>
      <c r="D92" s="236"/>
      <c r="E92" s="231">
        <v>10</v>
      </c>
      <c r="F92" s="54">
        <f t="shared" si="21"/>
        <v>1414</v>
      </c>
      <c r="G92" s="241"/>
      <c r="H92" s="226"/>
      <c r="I92" s="62">
        <f t="shared" si="20"/>
        <v>0</v>
      </c>
      <c r="J92" s="130"/>
      <c r="K92" s="246">
        <v>70000</v>
      </c>
      <c r="L92" s="67">
        <f t="shared" si="22"/>
        <v>217967</v>
      </c>
    </row>
    <row r="93" spans="1:12" x14ac:dyDescent="0.3">
      <c r="A93" s="32">
        <v>46064</v>
      </c>
      <c r="B93" s="230" t="s">
        <v>302</v>
      </c>
      <c r="C93" s="244"/>
      <c r="D93" s="236"/>
      <c r="E93" s="231"/>
      <c r="F93" s="54">
        <f t="shared" si="21"/>
        <v>1414</v>
      </c>
      <c r="G93" s="241"/>
      <c r="H93" s="226"/>
      <c r="I93" s="62">
        <f>+I91+G93-H93</f>
        <v>0</v>
      </c>
      <c r="J93" s="130"/>
      <c r="K93" s="246">
        <v>75000</v>
      </c>
      <c r="L93" s="67">
        <f t="shared" si="22"/>
        <v>142967</v>
      </c>
    </row>
    <row r="94" spans="1:12" x14ac:dyDescent="0.3">
      <c r="A94" s="32">
        <v>46064</v>
      </c>
      <c r="B94" s="230" t="s">
        <v>303</v>
      </c>
      <c r="C94" s="244"/>
      <c r="D94" s="236"/>
      <c r="E94" s="231"/>
      <c r="F94" s="54">
        <f t="shared" si="21"/>
        <v>1414</v>
      </c>
      <c r="G94" s="241"/>
      <c r="H94" s="280"/>
      <c r="I94" s="62">
        <f t="shared" si="20"/>
        <v>0</v>
      </c>
      <c r="J94" s="37"/>
      <c r="K94" s="246">
        <v>50000</v>
      </c>
      <c r="L94" s="67">
        <f t="shared" si="22"/>
        <v>92967</v>
      </c>
    </row>
    <row r="95" spans="1:12" x14ac:dyDescent="0.3">
      <c r="A95" s="32">
        <v>46064</v>
      </c>
      <c r="B95" s="230" t="s">
        <v>61</v>
      </c>
      <c r="C95" s="244"/>
      <c r="D95" s="236"/>
      <c r="E95" s="231">
        <v>100</v>
      </c>
      <c r="F95" s="54">
        <f t="shared" si="21"/>
        <v>1314</v>
      </c>
      <c r="G95" s="240"/>
      <c r="H95" s="226"/>
      <c r="I95" s="62">
        <f t="shared" si="20"/>
        <v>0</v>
      </c>
      <c r="J95" s="229"/>
      <c r="K95" s="246"/>
      <c r="L95" s="67">
        <f t="shared" si="22"/>
        <v>92967</v>
      </c>
    </row>
    <row r="96" spans="1:12" x14ac:dyDescent="0.3">
      <c r="A96" s="32">
        <v>46064</v>
      </c>
      <c r="B96" s="230" t="s">
        <v>304</v>
      </c>
      <c r="C96" s="244"/>
      <c r="D96" s="236"/>
      <c r="E96" s="231">
        <v>150</v>
      </c>
      <c r="F96" s="54">
        <f t="shared" si="21"/>
        <v>1164</v>
      </c>
      <c r="G96" s="240"/>
      <c r="H96" s="226"/>
      <c r="I96" s="62">
        <f t="shared" si="20"/>
        <v>0</v>
      </c>
      <c r="J96" s="264"/>
      <c r="K96" s="246"/>
      <c r="L96" s="67">
        <f t="shared" si="22"/>
        <v>92967</v>
      </c>
    </row>
    <row r="97" spans="1:12" x14ac:dyDescent="0.3">
      <c r="A97" s="32">
        <v>46064</v>
      </c>
      <c r="B97" s="230" t="s">
        <v>305</v>
      </c>
      <c r="C97" s="244"/>
      <c r="D97" s="236"/>
      <c r="E97" s="231">
        <v>180</v>
      </c>
      <c r="F97" s="54">
        <f t="shared" si="21"/>
        <v>984</v>
      </c>
      <c r="G97" s="240"/>
      <c r="H97" s="228"/>
      <c r="I97" s="62">
        <f t="shared" si="20"/>
        <v>0</v>
      </c>
      <c r="J97" s="266"/>
      <c r="K97" s="246"/>
      <c r="L97" s="67">
        <f t="shared" si="22"/>
        <v>92967</v>
      </c>
    </row>
    <row r="98" spans="1:12" x14ac:dyDescent="0.3">
      <c r="A98" s="32">
        <v>46064</v>
      </c>
      <c r="B98" s="230" t="s">
        <v>306</v>
      </c>
      <c r="C98" s="244"/>
      <c r="D98" s="236"/>
      <c r="E98" s="231">
        <v>20</v>
      </c>
      <c r="F98" s="54">
        <f t="shared" si="21"/>
        <v>964</v>
      </c>
      <c r="G98" s="241"/>
      <c r="H98" s="226"/>
      <c r="I98" s="62">
        <f t="shared" si="20"/>
        <v>0</v>
      </c>
      <c r="J98" s="233"/>
      <c r="K98" s="246"/>
      <c r="L98" s="67">
        <f t="shared" si="22"/>
        <v>92967</v>
      </c>
    </row>
    <row r="99" spans="1:12" x14ac:dyDescent="0.3">
      <c r="A99" s="32">
        <v>46064</v>
      </c>
      <c r="B99" s="230" t="s">
        <v>307</v>
      </c>
      <c r="C99" s="244"/>
      <c r="D99" s="236"/>
      <c r="E99" s="231">
        <v>140</v>
      </c>
      <c r="F99" s="54">
        <f t="shared" si="21"/>
        <v>824</v>
      </c>
      <c r="G99" s="240"/>
      <c r="H99" s="226"/>
      <c r="I99" s="62">
        <f t="shared" si="20"/>
        <v>0</v>
      </c>
      <c r="J99" s="271"/>
      <c r="K99" s="246"/>
      <c r="L99" s="67">
        <f t="shared" si="22"/>
        <v>92967</v>
      </c>
    </row>
    <row r="100" spans="1:12" x14ac:dyDescent="0.3">
      <c r="A100" s="32">
        <v>46064</v>
      </c>
      <c r="B100" s="230" t="s">
        <v>308</v>
      </c>
      <c r="C100" s="244"/>
      <c r="D100" s="236"/>
      <c r="E100" s="231">
        <v>35</v>
      </c>
      <c r="F100" s="54">
        <f t="shared" si="21"/>
        <v>789</v>
      </c>
      <c r="G100" s="240"/>
      <c r="H100" s="226"/>
      <c r="I100" s="62">
        <f t="shared" si="20"/>
        <v>0</v>
      </c>
      <c r="J100" s="264"/>
      <c r="K100" s="246"/>
      <c r="L100" s="67">
        <f t="shared" si="22"/>
        <v>92967</v>
      </c>
    </row>
    <row r="101" spans="1:12" x14ac:dyDescent="0.3">
      <c r="A101" s="32">
        <v>46064</v>
      </c>
      <c r="B101" s="230" t="s">
        <v>309</v>
      </c>
      <c r="C101" s="244"/>
      <c r="D101" s="236"/>
      <c r="E101" s="231">
        <v>30</v>
      </c>
      <c r="F101" s="54">
        <f t="shared" si="21"/>
        <v>759</v>
      </c>
      <c r="G101" s="240"/>
      <c r="H101" s="226"/>
      <c r="I101" s="62">
        <f t="shared" si="20"/>
        <v>0</v>
      </c>
      <c r="J101" s="248"/>
      <c r="K101" s="246"/>
      <c r="L101" s="67">
        <f t="shared" si="22"/>
        <v>92967</v>
      </c>
    </row>
    <row r="102" spans="1:12" x14ac:dyDescent="0.3">
      <c r="A102" s="32">
        <v>46064</v>
      </c>
      <c r="B102" s="230" t="s">
        <v>310</v>
      </c>
      <c r="C102" s="244"/>
      <c r="D102" s="236"/>
      <c r="E102" s="231"/>
      <c r="F102" s="54">
        <f t="shared" si="21"/>
        <v>759</v>
      </c>
      <c r="G102" s="240"/>
      <c r="H102" s="226"/>
      <c r="I102" s="62">
        <f t="shared" si="20"/>
        <v>0</v>
      </c>
      <c r="J102" s="248"/>
      <c r="K102" s="246">
        <v>15000</v>
      </c>
      <c r="L102" s="67">
        <f t="shared" si="22"/>
        <v>77967</v>
      </c>
    </row>
    <row r="103" spans="1:12" x14ac:dyDescent="0.3">
      <c r="A103" s="32"/>
      <c r="B103" s="116"/>
      <c r="C103" s="119"/>
      <c r="D103" s="117"/>
      <c r="E103" s="115"/>
      <c r="F103" s="107">
        <f t="shared" ref="F103:F133" si="23">F102+C103+D103-E103</f>
        <v>759</v>
      </c>
      <c r="G103" s="120"/>
      <c r="H103" s="113"/>
      <c r="I103" s="255">
        <f t="shared" ref="I103:I133" si="24">I102+G103-H103</f>
        <v>0</v>
      </c>
      <c r="J103" s="114"/>
      <c r="K103" s="121"/>
      <c r="L103" s="258">
        <f t="shared" ref="L103:L133" si="25">L102+J103-K103</f>
        <v>77967</v>
      </c>
    </row>
    <row r="104" spans="1:12" x14ac:dyDescent="0.3">
      <c r="A104" s="32">
        <v>46065</v>
      </c>
      <c r="B104" s="232" t="s">
        <v>210</v>
      </c>
      <c r="C104" s="244">
        <v>9980</v>
      </c>
      <c r="D104" s="236"/>
      <c r="E104" s="231"/>
      <c r="F104" s="54">
        <f>+F103+C104+D104-E104</f>
        <v>10739</v>
      </c>
      <c r="G104" s="240"/>
      <c r="H104" s="226">
        <v>0</v>
      </c>
      <c r="I104" s="62">
        <f t="shared" ref="I104:I128" si="26">+I103+G104-H104</f>
        <v>0</v>
      </c>
      <c r="J104" s="247"/>
      <c r="K104" s="246"/>
      <c r="L104" s="67">
        <f>+L103+J104-K104</f>
        <v>77967</v>
      </c>
    </row>
    <row r="105" spans="1:12" x14ac:dyDescent="0.3">
      <c r="A105" s="32">
        <v>46065</v>
      </c>
      <c r="B105" s="230" t="s">
        <v>28</v>
      </c>
      <c r="C105" s="244"/>
      <c r="D105" s="236"/>
      <c r="E105" s="231">
        <v>50</v>
      </c>
      <c r="F105" s="54">
        <f t="shared" ref="F105:F128" si="27">+F104+C105+D105-E105</f>
        <v>10689</v>
      </c>
      <c r="G105" s="241"/>
      <c r="H105" s="226"/>
      <c r="I105" s="62">
        <f t="shared" si="26"/>
        <v>0</v>
      </c>
      <c r="J105" s="229"/>
      <c r="K105" s="246"/>
      <c r="L105" s="67">
        <f t="shared" ref="L105:L128" si="28">+L104+J105-K105</f>
        <v>77967</v>
      </c>
    </row>
    <row r="106" spans="1:12" x14ac:dyDescent="0.3">
      <c r="A106" s="32">
        <v>46065</v>
      </c>
      <c r="B106" s="230" t="s">
        <v>29</v>
      </c>
      <c r="C106" s="244"/>
      <c r="D106" s="236"/>
      <c r="E106" s="231">
        <v>132</v>
      </c>
      <c r="F106" s="54">
        <f t="shared" si="27"/>
        <v>10557</v>
      </c>
      <c r="G106" s="241"/>
      <c r="H106" s="226"/>
      <c r="I106" s="62">
        <f t="shared" si="26"/>
        <v>0</v>
      </c>
      <c r="J106" s="130"/>
      <c r="K106" s="246"/>
      <c r="L106" s="67">
        <f t="shared" si="28"/>
        <v>77967</v>
      </c>
    </row>
    <row r="107" spans="1:12" x14ac:dyDescent="0.3">
      <c r="A107" s="32">
        <v>46065</v>
      </c>
      <c r="B107" s="230" t="s">
        <v>27</v>
      </c>
      <c r="C107" s="244"/>
      <c r="D107" s="236"/>
      <c r="E107" s="231">
        <v>40</v>
      </c>
      <c r="F107" s="54">
        <f t="shared" si="27"/>
        <v>10517</v>
      </c>
      <c r="G107" s="241"/>
      <c r="H107" s="280"/>
      <c r="I107" s="62">
        <f t="shared" si="26"/>
        <v>0</v>
      </c>
      <c r="J107" s="37"/>
      <c r="K107" s="246"/>
      <c r="L107" s="67">
        <f t="shared" si="28"/>
        <v>77967</v>
      </c>
    </row>
    <row r="108" spans="1:12" x14ac:dyDescent="0.3">
      <c r="A108" s="32">
        <v>46065</v>
      </c>
      <c r="B108" s="230" t="s">
        <v>311</v>
      </c>
      <c r="C108" s="244"/>
      <c r="D108" s="236"/>
      <c r="E108" s="231">
        <v>1994</v>
      </c>
      <c r="F108" s="54">
        <f t="shared" si="27"/>
        <v>8523</v>
      </c>
      <c r="G108" s="240"/>
      <c r="H108" s="226"/>
      <c r="I108" s="62">
        <f t="shared" si="26"/>
        <v>0</v>
      </c>
      <c r="J108" s="229"/>
      <c r="K108" s="246"/>
      <c r="L108" s="67">
        <f t="shared" si="28"/>
        <v>77967</v>
      </c>
    </row>
    <row r="109" spans="1:12" x14ac:dyDescent="0.3">
      <c r="A109" s="32">
        <v>46065</v>
      </c>
      <c r="B109" s="230" t="s">
        <v>312</v>
      </c>
      <c r="C109" s="244"/>
      <c r="D109" s="236"/>
      <c r="E109" s="231">
        <v>192</v>
      </c>
      <c r="F109" s="54">
        <f t="shared" si="27"/>
        <v>8331</v>
      </c>
      <c r="G109" s="240"/>
      <c r="H109" s="226"/>
      <c r="I109" s="62">
        <f t="shared" si="26"/>
        <v>0</v>
      </c>
      <c r="J109" s="264"/>
      <c r="K109" s="246"/>
      <c r="L109" s="67">
        <f t="shared" si="28"/>
        <v>77967</v>
      </c>
    </row>
    <row r="110" spans="1:12" x14ac:dyDescent="0.3">
      <c r="A110" s="32">
        <v>46065</v>
      </c>
      <c r="B110" s="230" t="s">
        <v>313</v>
      </c>
      <c r="C110" s="244"/>
      <c r="D110" s="236"/>
      <c r="E110" s="231">
        <v>1300</v>
      </c>
      <c r="F110" s="54">
        <f t="shared" si="27"/>
        <v>7031</v>
      </c>
      <c r="G110" s="240"/>
      <c r="H110" s="228"/>
      <c r="I110" s="62">
        <f t="shared" si="26"/>
        <v>0</v>
      </c>
      <c r="J110" s="266"/>
      <c r="K110" s="246"/>
      <c r="L110" s="67">
        <f t="shared" si="28"/>
        <v>77967</v>
      </c>
    </row>
    <row r="111" spans="1:12" x14ac:dyDescent="0.3">
      <c r="A111" s="32">
        <v>46065</v>
      </c>
      <c r="B111" s="230" t="s">
        <v>314</v>
      </c>
      <c r="C111" s="244"/>
      <c r="D111" s="236"/>
      <c r="E111" s="231">
        <v>360</v>
      </c>
      <c r="F111" s="54">
        <f t="shared" si="27"/>
        <v>6671</v>
      </c>
      <c r="G111" s="241"/>
      <c r="H111" s="226"/>
      <c r="I111" s="62">
        <f t="shared" si="26"/>
        <v>0</v>
      </c>
      <c r="J111" s="233"/>
      <c r="K111" s="246"/>
      <c r="L111" s="67">
        <f t="shared" si="28"/>
        <v>77967</v>
      </c>
    </row>
    <row r="112" spans="1:12" x14ac:dyDescent="0.3">
      <c r="A112" s="32">
        <v>46065</v>
      </c>
      <c r="B112" s="230" t="s">
        <v>315</v>
      </c>
      <c r="C112" s="244"/>
      <c r="D112" s="236"/>
      <c r="E112" s="231">
        <v>150</v>
      </c>
      <c r="F112" s="54">
        <f t="shared" si="27"/>
        <v>6521</v>
      </c>
      <c r="G112" s="240"/>
      <c r="H112" s="226"/>
      <c r="I112" s="62">
        <f t="shared" si="26"/>
        <v>0</v>
      </c>
      <c r="J112" s="271"/>
      <c r="K112" s="246"/>
      <c r="L112" s="67">
        <f t="shared" si="28"/>
        <v>77967</v>
      </c>
    </row>
    <row r="113" spans="1:12" x14ac:dyDescent="0.3">
      <c r="A113" s="32">
        <v>46065</v>
      </c>
      <c r="B113" s="230" t="s">
        <v>316</v>
      </c>
      <c r="C113" s="244"/>
      <c r="D113" s="236"/>
      <c r="E113" s="231">
        <v>170</v>
      </c>
      <c r="F113" s="54">
        <f t="shared" si="27"/>
        <v>6351</v>
      </c>
      <c r="G113" s="240"/>
      <c r="H113" s="226"/>
      <c r="I113" s="62">
        <f t="shared" si="26"/>
        <v>0</v>
      </c>
      <c r="J113" s="264"/>
      <c r="K113" s="246"/>
      <c r="L113" s="67">
        <f t="shared" si="28"/>
        <v>77967</v>
      </c>
    </row>
    <row r="114" spans="1:12" x14ac:dyDescent="0.3">
      <c r="A114" s="32">
        <v>46065</v>
      </c>
      <c r="B114" s="230" t="s">
        <v>317</v>
      </c>
      <c r="C114" s="244"/>
      <c r="D114" s="236"/>
      <c r="E114" s="231">
        <v>170</v>
      </c>
      <c r="F114" s="54">
        <f t="shared" si="27"/>
        <v>6181</v>
      </c>
      <c r="G114" s="240"/>
      <c r="H114" s="226"/>
      <c r="I114" s="62">
        <f t="shared" si="26"/>
        <v>0</v>
      </c>
      <c r="J114" s="248"/>
      <c r="K114" s="246"/>
      <c r="L114" s="67">
        <f t="shared" si="28"/>
        <v>77967</v>
      </c>
    </row>
    <row r="115" spans="1:12" x14ac:dyDescent="0.3">
      <c r="A115" s="32">
        <v>46065</v>
      </c>
      <c r="B115" s="230" t="s">
        <v>318</v>
      </c>
      <c r="C115" s="244"/>
      <c r="D115" s="236"/>
      <c r="E115" s="231">
        <v>250</v>
      </c>
      <c r="F115" s="54">
        <f t="shared" si="27"/>
        <v>5931</v>
      </c>
      <c r="G115" s="240"/>
      <c r="H115" s="226"/>
      <c r="I115" s="62">
        <f t="shared" si="26"/>
        <v>0</v>
      </c>
      <c r="J115" s="248"/>
      <c r="K115" s="246"/>
      <c r="L115" s="67">
        <f t="shared" si="28"/>
        <v>77967</v>
      </c>
    </row>
    <row r="116" spans="1:12" x14ac:dyDescent="0.3">
      <c r="A116" s="32">
        <v>46065</v>
      </c>
      <c r="B116" s="230" t="s">
        <v>319</v>
      </c>
      <c r="C116" s="244"/>
      <c r="D116" s="236"/>
      <c r="E116" s="231">
        <v>100</v>
      </c>
      <c r="F116" s="54">
        <f t="shared" si="27"/>
        <v>5831</v>
      </c>
      <c r="G116" s="241"/>
      <c r="H116" s="226"/>
      <c r="I116" s="62">
        <f t="shared" si="26"/>
        <v>0</v>
      </c>
      <c r="J116" s="271"/>
      <c r="K116" s="246"/>
      <c r="L116" s="67">
        <f t="shared" si="28"/>
        <v>77967</v>
      </c>
    </row>
    <row r="117" spans="1:12" x14ac:dyDescent="0.3">
      <c r="A117" s="32">
        <v>46065</v>
      </c>
      <c r="B117" s="222" t="s">
        <v>23</v>
      </c>
      <c r="C117" s="244"/>
      <c r="D117" s="236"/>
      <c r="E117" s="231">
        <v>300</v>
      </c>
      <c r="F117" s="54">
        <f t="shared" si="27"/>
        <v>5531</v>
      </c>
      <c r="G117" s="241"/>
      <c r="H117" s="226"/>
      <c r="I117" s="62">
        <f t="shared" si="26"/>
        <v>0</v>
      </c>
      <c r="J117" s="130">
        <v>675000</v>
      </c>
      <c r="K117" s="246"/>
      <c r="L117" s="67">
        <f t="shared" si="28"/>
        <v>752967</v>
      </c>
    </row>
    <row r="118" spans="1:12" x14ac:dyDescent="0.3">
      <c r="A118" s="32">
        <v>46065</v>
      </c>
      <c r="B118" s="230" t="s">
        <v>320</v>
      </c>
      <c r="C118" s="244"/>
      <c r="D118" s="236"/>
      <c r="E118" s="231"/>
      <c r="F118" s="54">
        <f t="shared" si="27"/>
        <v>5531</v>
      </c>
      <c r="G118" s="242"/>
      <c r="H118" s="227"/>
      <c r="I118" s="62">
        <f t="shared" si="26"/>
        <v>0</v>
      </c>
      <c r="J118" s="37"/>
      <c r="K118" s="246">
        <v>100000</v>
      </c>
      <c r="L118" s="67">
        <f t="shared" si="28"/>
        <v>652967</v>
      </c>
    </row>
    <row r="119" spans="1:12" x14ac:dyDescent="0.3">
      <c r="A119" s="32">
        <v>46065</v>
      </c>
      <c r="B119" s="230" t="s">
        <v>321</v>
      </c>
      <c r="C119" s="239"/>
      <c r="D119" s="236"/>
      <c r="E119" s="231"/>
      <c r="F119" s="54">
        <f t="shared" si="27"/>
        <v>5531</v>
      </c>
      <c r="G119" s="243"/>
      <c r="H119" s="227"/>
      <c r="I119" s="62">
        <f t="shared" si="26"/>
        <v>0</v>
      </c>
      <c r="J119" s="264"/>
      <c r="K119" s="246">
        <v>100000</v>
      </c>
      <c r="L119" s="67">
        <f t="shared" si="28"/>
        <v>552967</v>
      </c>
    </row>
    <row r="120" spans="1:12" x14ac:dyDescent="0.3">
      <c r="A120" s="32">
        <v>46065</v>
      </c>
      <c r="B120" s="230" t="s">
        <v>322</v>
      </c>
      <c r="C120" s="244"/>
      <c r="D120" s="236"/>
      <c r="E120" s="231"/>
      <c r="F120" s="54">
        <f t="shared" si="27"/>
        <v>5531</v>
      </c>
      <c r="G120" s="223"/>
      <c r="H120" s="221"/>
      <c r="I120" s="62">
        <f t="shared" si="26"/>
        <v>0</v>
      </c>
      <c r="J120" s="271"/>
      <c r="K120" s="246">
        <v>22500</v>
      </c>
      <c r="L120" s="67">
        <f t="shared" si="28"/>
        <v>530467</v>
      </c>
    </row>
    <row r="121" spans="1:12" x14ac:dyDescent="0.3">
      <c r="A121" s="32">
        <v>46065</v>
      </c>
      <c r="B121" s="230" t="s">
        <v>323</v>
      </c>
      <c r="C121" s="244"/>
      <c r="D121" s="236"/>
      <c r="E121" s="231"/>
      <c r="F121" s="54">
        <f t="shared" si="27"/>
        <v>5531</v>
      </c>
      <c r="G121" s="223"/>
      <c r="H121" s="227"/>
      <c r="I121" s="62">
        <f t="shared" si="26"/>
        <v>0</v>
      </c>
      <c r="J121" s="271"/>
      <c r="K121" s="246">
        <v>87500</v>
      </c>
      <c r="L121" s="67">
        <f t="shared" si="28"/>
        <v>442967</v>
      </c>
    </row>
    <row r="122" spans="1:12" x14ac:dyDescent="0.3">
      <c r="A122" s="32">
        <v>46065</v>
      </c>
      <c r="B122" s="230" t="s">
        <v>324</v>
      </c>
      <c r="C122" s="244"/>
      <c r="D122" s="236"/>
      <c r="E122" s="231"/>
      <c r="F122" s="54">
        <f t="shared" si="27"/>
        <v>5531</v>
      </c>
      <c r="G122" s="223"/>
      <c r="H122" s="227"/>
      <c r="I122" s="62">
        <f t="shared" si="26"/>
        <v>0</v>
      </c>
      <c r="J122" s="229"/>
      <c r="K122" s="246">
        <v>25704</v>
      </c>
      <c r="L122" s="67">
        <f t="shared" si="28"/>
        <v>417263</v>
      </c>
    </row>
    <row r="123" spans="1:12" x14ac:dyDescent="0.3">
      <c r="A123" s="32">
        <v>46065</v>
      </c>
      <c r="B123" s="230" t="s">
        <v>325</v>
      </c>
      <c r="C123" s="244"/>
      <c r="D123" s="236"/>
      <c r="E123" s="231"/>
      <c r="F123" s="54">
        <f t="shared" si="27"/>
        <v>5531</v>
      </c>
      <c r="G123" s="223"/>
      <c r="H123" s="227"/>
      <c r="I123" s="62">
        <f t="shared" si="26"/>
        <v>0</v>
      </c>
      <c r="J123" s="65"/>
      <c r="K123" s="246">
        <v>36720</v>
      </c>
      <c r="L123" s="67">
        <f t="shared" si="28"/>
        <v>380543</v>
      </c>
    </row>
    <row r="124" spans="1:12" x14ac:dyDescent="0.3">
      <c r="A124" s="32">
        <v>46065</v>
      </c>
      <c r="B124" s="230" t="s">
        <v>326</v>
      </c>
      <c r="C124" s="244"/>
      <c r="D124" s="236"/>
      <c r="E124" s="231"/>
      <c r="F124" s="54">
        <f t="shared" si="27"/>
        <v>5531</v>
      </c>
      <c r="G124" s="223"/>
      <c r="H124" s="227"/>
      <c r="I124" s="62">
        <f t="shared" si="26"/>
        <v>0</v>
      </c>
      <c r="J124" s="65"/>
      <c r="K124" s="246">
        <v>34000</v>
      </c>
      <c r="L124" s="67">
        <f t="shared" si="28"/>
        <v>346543</v>
      </c>
    </row>
    <row r="125" spans="1:12" x14ac:dyDescent="0.3">
      <c r="A125" s="32">
        <v>46065</v>
      </c>
      <c r="B125" s="230" t="s">
        <v>327</v>
      </c>
      <c r="C125" s="267"/>
      <c r="D125" s="235"/>
      <c r="E125" s="231"/>
      <c r="F125" s="54">
        <f t="shared" si="27"/>
        <v>5531</v>
      </c>
      <c r="G125" s="223"/>
      <c r="H125" s="227"/>
      <c r="I125" s="62">
        <f t="shared" si="26"/>
        <v>0</v>
      </c>
      <c r="J125" s="248"/>
      <c r="K125" s="246">
        <v>180000</v>
      </c>
      <c r="L125" s="67">
        <f t="shared" si="28"/>
        <v>166543</v>
      </c>
    </row>
    <row r="126" spans="1:12" x14ac:dyDescent="0.3">
      <c r="A126" s="32">
        <v>46065</v>
      </c>
      <c r="B126" s="230" t="s">
        <v>328</v>
      </c>
      <c r="C126" s="244"/>
      <c r="D126" s="235"/>
      <c r="E126" s="231">
        <v>100</v>
      </c>
      <c r="F126" s="54">
        <f t="shared" si="27"/>
        <v>5431</v>
      </c>
      <c r="G126" s="223"/>
      <c r="H126" s="227"/>
      <c r="I126" s="62">
        <f t="shared" si="26"/>
        <v>0</v>
      </c>
      <c r="J126" s="248"/>
      <c r="K126" s="246"/>
      <c r="L126" s="67">
        <f t="shared" si="28"/>
        <v>166543</v>
      </c>
    </row>
    <row r="127" spans="1:12" x14ac:dyDescent="0.3">
      <c r="A127" s="32">
        <v>46065</v>
      </c>
      <c r="B127" s="232" t="s">
        <v>329</v>
      </c>
      <c r="C127" s="244">
        <v>420</v>
      </c>
      <c r="D127" s="235"/>
      <c r="E127" s="231"/>
      <c r="F127" s="54">
        <f t="shared" si="27"/>
        <v>5851</v>
      </c>
      <c r="G127" s="223"/>
      <c r="H127" s="227"/>
      <c r="I127" s="62">
        <f t="shared" si="26"/>
        <v>0</v>
      </c>
      <c r="J127" s="270"/>
      <c r="K127" s="246"/>
      <c r="L127" s="67">
        <f t="shared" si="28"/>
        <v>166543</v>
      </c>
    </row>
    <row r="128" spans="1:12" x14ac:dyDescent="0.3">
      <c r="A128" s="32">
        <v>46065</v>
      </c>
      <c r="B128" s="232" t="s">
        <v>330</v>
      </c>
      <c r="C128" s="244">
        <v>146</v>
      </c>
      <c r="D128" s="237"/>
      <c r="E128" s="231"/>
      <c r="F128" s="54">
        <f t="shared" si="27"/>
        <v>5997</v>
      </c>
      <c r="G128" s="223"/>
      <c r="H128" s="227"/>
      <c r="I128" s="62">
        <f t="shared" si="26"/>
        <v>0</v>
      </c>
      <c r="J128" s="248"/>
      <c r="K128" s="246"/>
      <c r="L128" s="67">
        <f t="shared" si="28"/>
        <v>166543</v>
      </c>
    </row>
    <row r="129" spans="1:12" x14ac:dyDescent="0.3">
      <c r="A129" s="32"/>
      <c r="B129" s="125"/>
      <c r="C129" s="127"/>
      <c r="D129" s="126"/>
      <c r="E129" s="124"/>
      <c r="F129" s="107">
        <f t="shared" si="23"/>
        <v>5997</v>
      </c>
      <c r="G129" s="128"/>
      <c r="H129" s="123"/>
      <c r="I129" s="255">
        <f t="shared" si="24"/>
        <v>0</v>
      </c>
      <c r="J129" s="130"/>
      <c r="K129" s="129"/>
      <c r="L129" s="258">
        <f t="shared" si="25"/>
        <v>166543</v>
      </c>
    </row>
    <row r="130" spans="1:12" x14ac:dyDescent="0.3">
      <c r="A130" s="32">
        <v>46066</v>
      </c>
      <c r="B130" s="230" t="s">
        <v>70</v>
      </c>
      <c r="C130" s="244"/>
      <c r="D130" s="236"/>
      <c r="E130" s="231">
        <v>50</v>
      </c>
      <c r="F130" s="54">
        <f>+F129+C130+D130-E130</f>
        <v>5947</v>
      </c>
      <c r="G130" s="240"/>
      <c r="H130" s="226">
        <v>0</v>
      </c>
      <c r="I130" s="62">
        <f t="shared" ref="I130:I132" si="29">+I129+G130-H130</f>
        <v>0</v>
      </c>
      <c r="J130" s="247"/>
      <c r="K130" s="246"/>
      <c r="L130" s="67">
        <f>+L129+J130-K130</f>
        <v>166543</v>
      </c>
    </row>
    <row r="131" spans="1:12" x14ac:dyDescent="0.3">
      <c r="A131" s="32">
        <v>46066</v>
      </c>
      <c r="B131" s="230" t="s">
        <v>331</v>
      </c>
      <c r="C131" s="244"/>
      <c r="D131" s="236"/>
      <c r="E131" s="231">
        <v>310</v>
      </c>
      <c r="F131" s="54">
        <f t="shared" ref="F131:F132" si="30">+F130+C131+D131-E131</f>
        <v>5637</v>
      </c>
      <c r="G131" s="241"/>
      <c r="H131" s="226"/>
      <c r="I131" s="62">
        <f t="shared" si="29"/>
        <v>0</v>
      </c>
      <c r="J131" s="229"/>
      <c r="K131" s="246"/>
      <c r="L131" s="67">
        <f t="shared" ref="L131:L132" si="31">+L130+J131-K131</f>
        <v>166543</v>
      </c>
    </row>
    <row r="132" spans="1:12" x14ac:dyDescent="0.3">
      <c r="A132" s="32">
        <v>46066</v>
      </c>
      <c r="B132" s="230" t="s">
        <v>52</v>
      </c>
      <c r="C132" s="244"/>
      <c r="D132" s="236"/>
      <c r="E132" s="231"/>
      <c r="F132" s="54">
        <f t="shared" si="30"/>
        <v>5637</v>
      </c>
      <c r="G132" s="241"/>
      <c r="H132" s="226"/>
      <c r="I132" s="62">
        <f t="shared" si="29"/>
        <v>0</v>
      </c>
      <c r="J132" s="130"/>
      <c r="K132" s="246">
        <v>10000</v>
      </c>
      <c r="L132" s="67">
        <f t="shared" si="31"/>
        <v>156543</v>
      </c>
    </row>
    <row r="133" spans="1:12" x14ac:dyDescent="0.3">
      <c r="A133" s="32"/>
      <c r="B133" s="136"/>
      <c r="C133" s="139"/>
      <c r="D133" s="138"/>
      <c r="E133" s="134"/>
      <c r="F133" s="107">
        <f t="shared" si="23"/>
        <v>5637</v>
      </c>
      <c r="G133" s="140"/>
      <c r="H133" s="131">
        <v>0</v>
      </c>
      <c r="I133" s="255">
        <f t="shared" si="24"/>
        <v>0</v>
      </c>
      <c r="J133" s="132"/>
      <c r="K133" s="141"/>
      <c r="L133" s="258">
        <f t="shared" si="25"/>
        <v>156543</v>
      </c>
    </row>
    <row r="134" spans="1:12" x14ac:dyDescent="0.3">
      <c r="A134" s="32">
        <v>46067</v>
      </c>
      <c r="B134" s="230" t="s">
        <v>48</v>
      </c>
      <c r="C134" s="244"/>
      <c r="D134" s="236"/>
      <c r="E134" s="231">
        <v>70</v>
      </c>
      <c r="F134" s="54">
        <f>+F133+C134+D134-E134</f>
        <v>5567</v>
      </c>
      <c r="G134" s="240"/>
      <c r="H134" s="226">
        <v>0</v>
      </c>
      <c r="I134" s="62">
        <f t="shared" ref="I134:I140" si="32">+I133+G134-H134</f>
        <v>0</v>
      </c>
      <c r="J134" s="247"/>
      <c r="K134" s="246"/>
      <c r="L134" s="67">
        <f>+L133+J134-K134</f>
        <v>156543</v>
      </c>
    </row>
    <row r="135" spans="1:12" x14ac:dyDescent="0.3">
      <c r="A135" s="32">
        <v>46067</v>
      </c>
      <c r="B135" s="230" t="s">
        <v>332</v>
      </c>
      <c r="C135" s="244"/>
      <c r="D135" s="236"/>
      <c r="E135" s="231">
        <v>300</v>
      </c>
      <c r="F135" s="54">
        <f t="shared" ref="F135:F140" si="33">+F134+C135+D135-E135</f>
        <v>5267</v>
      </c>
      <c r="G135" s="241"/>
      <c r="H135" s="226"/>
      <c r="I135" s="62">
        <f t="shared" si="32"/>
        <v>0</v>
      </c>
      <c r="J135" s="229"/>
      <c r="K135" s="246"/>
      <c r="L135" s="67">
        <f t="shared" ref="L135:L140" si="34">+L134+J135-K135</f>
        <v>156543</v>
      </c>
    </row>
    <row r="136" spans="1:12" x14ac:dyDescent="0.3">
      <c r="A136" s="32">
        <v>46067</v>
      </c>
      <c r="B136" s="230" t="s">
        <v>333</v>
      </c>
      <c r="C136" s="244"/>
      <c r="D136" s="236"/>
      <c r="E136" s="231">
        <v>250</v>
      </c>
      <c r="F136" s="54">
        <f t="shared" si="33"/>
        <v>5017</v>
      </c>
      <c r="G136" s="241"/>
      <c r="H136" s="226"/>
      <c r="I136" s="62">
        <f t="shared" si="32"/>
        <v>0</v>
      </c>
      <c r="J136" s="130"/>
      <c r="K136" s="246"/>
      <c r="L136" s="67">
        <f t="shared" si="34"/>
        <v>156543</v>
      </c>
    </row>
    <row r="137" spans="1:12" x14ac:dyDescent="0.3">
      <c r="A137" s="32">
        <v>46067</v>
      </c>
      <c r="B137" s="222" t="s">
        <v>23</v>
      </c>
      <c r="C137" s="244"/>
      <c r="D137" s="236"/>
      <c r="E137" s="231">
        <v>100</v>
      </c>
      <c r="F137" s="54">
        <f t="shared" si="33"/>
        <v>4917</v>
      </c>
      <c r="G137" s="241"/>
      <c r="H137" s="280"/>
      <c r="I137" s="62">
        <f t="shared" si="32"/>
        <v>0</v>
      </c>
      <c r="J137" s="37">
        <v>225000</v>
      </c>
      <c r="K137" s="246"/>
      <c r="L137" s="67">
        <f t="shared" si="34"/>
        <v>381543</v>
      </c>
    </row>
    <row r="138" spans="1:12" x14ac:dyDescent="0.3">
      <c r="A138" s="32">
        <v>46067</v>
      </c>
      <c r="B138" s="230" t="s">
        <v>334</v>
      </c>
      <c r="C138" s="244"/>
      <c r="D138" s="236"/>
      <c r="E138" s="231"/>
      <c r="F138" s="54">
        <f t="shared" si="33"/>
        <v>4917</v>
      </c>
      <c r="G138" s="240"/>
      <c r="H138" s="226"/>
      <c r="I138" s="62">
        <f t="shared" si="32"/>
        <v>0</v>
      </c>
      <c r="J138" s="229"/>
      <c r="K138" s="246">
        <v>372000</v>
      </c>
      <c r="L138" s="67">
        <f t="shared" si="34"/>
        <v>9543</v>
      </c>
    </row>
    <row r="139" spans="1:12" x14ac:dyDescent="0.3">
      <c r="A139" s="32">
        <v>46067</v>
      </c>
      <c r="B139" s="232" t="s">
        <v>335</v>
      </c>
      <c r="C139" s="244">
        <v>610</v>
      </c>
      <c r="D139" s="236"/>
      <c r="E139" s="231"/>
      <c r="F139" s="54">
        <f t="shared" si="33"/>
        <v>5527</v>
      </c>
      <c r="G139" s="240"/>
      <c r="H139" s="226"/>
      <c r="I139" s="62">
        <f t="shared" si="32"/>
        <v>0</v>
      </c>
      <c r="J139" s="264"/>
      <c r="K139" s="246"/>
      <c r="L139" s="67">
        <f t="shared" si="34"/>
        <v>9543</v>
      </c>
    </row>
    <row r="140" spans="1:12" x14ac:dyDescent="0.3">
      <c r="A140" s="32">
        <v>46067</v>
      </c>
      <c r="B140" s="232" t="s">
        <v>336</v>
      </c>
      <c r="C140" s="244">
        <v>174</v>
      </c>
      <c r="D140" s="236"/>
      <c r="E140" s="231"/>
      <c r="F140" s="54">
        <f t="shared" si="33"/>
        <v>5701</v>
      </c>
      <c r="G140" s="240"/>
      <c r="H140" s="228"/>
      <c r="I140" s="62">
        <f t="shared" si="32"/>
        <v>0</v>
      </c>
      <c r="J140" s="266"/>
      <c r="K140" s="246"/>
      <c r="L140" s="67">
        <f t="shared" si="34"/>
        <v>9543</v>
      </c>
    </row>
    <row r="141" spans="1:12" x14ac:dyDescent="0.3">
      <c r="A141" s="32"/>
      <c r="B141" s="133"/>
      <c r="C141" s="139"/>
      <c r="D141" s="137"/>
      <c r="E141" s="134"/>
      <c r="F141" s="107">
        <f t="shared" ref="F141:F185" si="35">F140+C141+D141-E141</f>
        <v>5701</v>
      </c>
      <c r="G141" s="140"/>
      <c r="H141" s="131"/>
      <c r="I141" s="255">
        <f t="shared" ref="I141:I185" si="36">I140+G141-H141</f>
        <v>0</v>
      </c>
      <c r="J141" s="135"/>
      <c r="K141" s="141"/>
      <c r="L141" s="258">
        <f t="shared" ref="L141:L185" si="37">L140+J141-K141</f>
        <v>9543</v>
      </c>
    </row>
    <row r="142" spans="1:12" x14ac:dyDescent="0.3">
      <c r="A142" s="32">
        <v>46069</v>
      </c>
      <c r="B142" s="230" t="s">
        <v>36</v>
      </c>
      <c r="C142" s="244"/>
      <c r="D142" s="236"/>
      <c r="E142" s="231">
        <v>50</v>
      </c>
      <c r="F142" s="54">
        <f>+F141+C142+D142-E142</f>
        <v>5651</v>
      </c>
      <c r="G142" s="240"/>
      <c r="H142" s="226">
        <v>0</v>
      </c>
      <c r="I142" s="62">
        <f t="shared" ref="I142:I155" si="38">+I141+G142-H142</f>
        <v>0</v>
      </c>
      <c r="J142" s="247"/>
      <c r="K142" s="246"/>
      <c r="L142" s="67">
        <f>+L141+J142-K142</f>
        <v>9543</v>
      </c>
    </row>
    <row r="143" spans="1:12" x14ac:dyDescent="0.3">
      <c r="A143" s="32">
        <v>46069</v>
      </c>
      <c r="B143" s="230" t="s">
        <v>20</v>
      </c>
      <c r="C143" s="244"/>
      <c r="D143" s="236"/>
      <c r="E143" s="231">
        <v>100</v>
      </c>
      <c r="F143" s="54">
        <f t="shared" ref="F143:F155" si="39">+F142+C143+D143-E143</f>
        <v>5551</v>
      </c>
      <c r="G143" s="241"/>
      <c r="H143" s="226"/>
      <c r="I143" s="62">
        <f t="shared" si="38"/>
        <v>0</v>
      </c>
      <c r="J143" s="229"/>
      <c r="K143" s="246"/>
      <c r="L143" s="67">
        <f t="shared" ref="L143:L155" si="40">+L142+J143-K143</f>
        <v>9543</v>
      </c>
    </row>
    <row r="144" spans="1:12" x14ac:dyDescent="0.3">
      <c r="A144" s="32">
        <v>46069</v>
      </c>
      <c r="B144" s="230" t="s">
        <v>337</v>
      </c>
      <c r="C144" s="244"/>
      <c r="D144" s="236"/>
      <c r="E144" s="231"/>
      <c r="F144" s="54">
        <f t="shared" si="39"/>
        <v>5551</v>
      </c>
      <c r="G144" s="241"/>
      <c r="H144" s="226"/>
      <c r="I144" s="62">
        <f t="shared" si="38"/>
        <v>0</v>
      </c>
      <c r="J144" s="130"/>
      <c r="K144" s="246">
        <v>10000</v>
      </c>
      <c r="L144" s="67">
        <f t="shared" si="40"/>
        <v>-457</v>
      </c>
    </row>
    <row r="145" spans="1:12" x14ac:dyDescent="0.3">
      <c r="A145" s="32">
        <v>46069</v>
      </c>
      <c r="B145" s="222" t="s">
        <v>23</v>
      </c>
      <c r="C145" s="244"/>
      <c r="D145" s="236"/>
      <c r="E145" s="231">
        <v>500</v>
      </c>
      <c r="F145" s="54">
        <f t="shared" si="39"/>
        <v>5051</v>
      </c>
      <c r="G145" s="241"/>
      <c r="H145" s="280"/>
      <c r="I145" s="62">
        <f t="shared" si="38"/>
        <v>0</v>
      </c>
      <c r="J145" s="37">
        <v>1125000</v>
      </c>
      <c r="K145" s="246"/>
      <c r="L145" s="67">
        <f t="shared" si="40"/>
        <v>1124543</v>
      </c>
    </row>
    <row r="146" spans="1:12" x14ac:dyDescent="0.3">
      <c r="A146" s="32">
        <v>46069</v>
      </c>
      <c r="B146" s="230" t="s">
        <v>338</v>
      </c>
      <c r="C146" s="244"/>
      <c r="D146" s="236"/>
      <c r="E146" s="231"/>
      <c r="F146" s="54">
        <f t="shared" si="39"/>
        <v>5051</v>
      </c>
      <c r="G146" s="240"/>
      <c r="H146" s="226"/>
      <c r="I146" s="62">
        <f t="shared" si="38"/>
        <v>0</v>
      </c>
      <c r="J146" s="229"/>
      <c r="K146" s="246">
        <v>310000</v>
      </c>
      <c r="L146" s="67">
        <f t="shared" si="40"/>
        <v>814543</v>
      </c>
    </row>
    <row r="147" spans="1:12" x14ac:dyDescent="0.3">
      <c r="A147" s="32">
        <v>46069</v>
      </c>
      <c r="B147" s="230" t="s">
        <v>339</v>
      </c>
      <c r="C147" s="244"/>
      <c r="D147" s="236"/>
      <c r="E147" s="231">
        <v>100</v>
      </c>
      <c r="F147" s="54">
        <f t="shared" si="39"/>
        <v>4951</v>
      </c>
      <c r="G147" s="240"/>
      <c r="H147" s="226"/>
      <c r="I147" s="62">
        <f t="shared" si="38"/>
        <v>0</v>
      </c>
      <c r="J147" s="264"/>
      <c r="K147" s="246"/>
      <c r="L147" s="67">
        <f t="shared" si="40"/>
        <v>814543</v>
      </c>
    </row>
    <row r="148" spans="1:12" x14ac:dyDescent="0.3">
      <c r="A148" s="32">
        <v>46069</v>
      </c>
      <c r="B148" s="230" t="s">
        <v>340</v>
      </c>
      <c r="C148" s="244"/>
      <c r="D148" s="236"/>
      <c r="E148" s="231"/>
      <c r="F148" s="54">
        <f t="shared" si="39"/>
        <v>4951</v>
      </c>
      <c r="G148" s="240"/>
      <c r="H148" s="228"/>
      <c r="I148" s="62">
        <f t="shared" si="38"/>
        <v>0</v>
      </c>
      <c r="J148" s="266"/>
      <c r="K148" s="246">
        <v>334500</v>
      </c>
      <c r="L148" s="67">
        <f t="shared" si="40"/>
        <v>480043</v>
      </c>
    </row>
    <row r="149" spans="1:12" x14ac:dyDescent="0.3">
      <c r="A149" s="32">
        <v>46069</v>
      </c>
      <c r="B149" s="230" t="s">
        <v>341</v>
      </c>
      <c r="C149" s="244"/>
      <c r="D149" s="236"/>
      <c r="E149" s="231"/>
      <c r="F149" s="54">
        <f t="shared" si="39"/>
        <v>4951</v>
      </c>
      <c r="G149" s="241"/>
      <c r="H149" s="226"/>
      <c r="I149" s="62">
        <f t="shared" si="38"/>
        <v>0</v>
      </c>
      <c r="J149" s="233"/>
      <c r="K149" s="246">
        <v>312500</v>
      </c>
      <c r="L149" s="67">
        <f t="shared" si="40"/>
        <v>167543</v>
      </c>
    </row>
    <row r="150" spans="1:12" x14ac:dyDescent="0.3">
      <c r="A150" s="32">
        <v>46069</v>
      </c>
      <c r="B150" s="230" t="s">
        <v>45</v>
      </c>
      <c r="C150" s="244"/>
      <c r="D150" s="236"/>
      <c r="E150" s="231">
        <v>80</v>
      </c>
      <c r="F150" s="54">
        <f t="shared" si="39"/>
        <v>4871</v>
      </c>
      <c r="G150" s="240"/>
      <c r="H150" s="226"/>
      <c r="I150" s="62">
        <f t="shared" si="38"/>
        <v>0</v>
      </c>
      <c r="J150" s="271"/>
      <c r="K150" s="246"/>
      <c r="L150" s="67">
        <f t="shared" si="40"/>
        <v>167543</v>
      </c>
    </row>
    <row r="151" spans="1:12" x14ac:dyDescent="0.3">
      <c r="A151" s="32">
        <v>46069</v>
      </c>
      <c r="B151" s="230" t="s">
        <v>25</v>
      </c>
      <c r="C151" s="244"/>
      <c r="D151" s="236"/>
      <c r="E151" s="231">
        <v>20</v>
      </c>
      <c r="F151" s="54">
        <f t="shared" si="39"/>
        <v>4851</v>
      </c>
      <c r="G151" s="240"/>
      <c r="H151" s="226"/>
      <c r="I151" s="62">
        <f t="shared" si="38"/>
        <v>0</v>
      </c>
      <c r="J151" s="264"/>
      <c r="K151" s="246"/>
      <c r="L151" s="67">
        <f t="shared" si="40"/>
        <v>167543</v>
      </c>
    </row>
    <row r="152" spans="1:12" x14ac:dyDescent="0.3">
      <c r="A152" s="32">
        <v>46069</v>
      </c>
      <c r="B152" s="230" t="s">
        <v>292</v>
      </c>
      <c r="C152" s="244"/>
      <c r="D152" s="236"/>
      <c r="E152" s="231">
        <v>40</v>
      </c>
      <c r="F152" s="54">
        <f t="shared" si="39"/>
        <v>4811</v>
      </c>
      <c r="G152" s="240"/>
      <c r="H152" s="226"/>
      <c r="I152" s="62">
        <f t="shared" si="38"/>
        <v>0</v>
      </c>
      <c r="J152" s="248"/>
      <c r="K152" s="246"/>
      <c r="L152" s="67">
        <f t="shared" si="40"/>
        <v>167543</v>
      </c>
    </row>
    <row r="153" spans="1:12" x14ac:dyDescent="0.3">
      <c r="A153" s="32">
        <v>46069</v>
      </c>
      <c r="B153" s="230" t="s">
        <v>342</v>
      </c>
      <c r="C153" s="244"/>
      <c r="D153" s="236"/>
      <c r="E153" s="231"/>
      <c r="F153" s="54">
        <f t="shared" si="39"/>
        <v>4811</v>
      </c>
      <c r="G153" s="240"/>
      <c r="H153" s="226"/>
      <c r="I153" s="62">
        <f t="shared" si="38"/>
        <v>0</v>
      </c>
      <c r="J153" s="248"/>
      <c r="K153" s="246">
        <v>30000</v>
      </c>
      <c r="L153" s="67">
        <f t="shared" si="40"/>
        <v>137543</v>
      </c>
    </row>
    <row r="154" spans="1:12" x14ac:dyDescent="0.3">
      <c r="A154" s="32">
        <v>46069</v>
      </c>
      <c r="B154" s="230" t="s">
        <v>343</v>
      </c>
      <c r="C154" s="244"/>
      <c r="D154" s="236"/>
      <c r="E154" s="231">
        <v>120</v>
      </c>
      <c r="F154" s="54">
        <f t="shared" si="39"/>
        <v>4691</v>
      </c>
      <c r="G154" s="241"/>
      <c r="H154" s="226"/>
      <c r="I154" s="62">
        <f t="shared" si="38"/>
        <v>0</v>
      </c>
      <c r="J154" s="271"/>
      <c r="K154" s="246">
        <v>80000</v>
      </c>
      <c r="L154" s="67">
        <f t="shared" si="40"/>
        <v>57543</v>
      </c>
    </row>
    <row r="155" spans="1:12" x14ac:dyDescent="0.3">
      <c r="A155" s="32">
        <v>46069</v>
      </c>
      <c r="B155" s="230" t="s">
        <v>344</v>
      </c>
      <c r="C155" s="244"/>
      <c r="D155" s="236"/>
      <c r="E155" s="231">
        <v>100</v>
      </c>
      <c r="F155" s="54">
        <f t="shared" si="39"/>
        <v>4591</v>
      </c>
      <c r="G155" s="241"/>
      <c r="H155" s="226"/>
      <c r="I155" s="62">
        <f t="shared" si="38"/>
        <v>0</v>
      </c>
      <c r="J155" s="248"/>
      <c r="K155" s="246"/>
      <c r="L155" s="67">
        <f t="shared" si="40"/>
        <v>57543</v>
      </c>
    </row>
    <row r="156" spans="1:12" x14ac:dyDescent="0.3">
      <c r="A156" s="32"/>
      <c r="B156" s="144"/>
      <c r="C156" s="147"/>
      <c r="D156" s="146"/>
      <c r="E156" s="145"/>
      <c r="F156" s="107">
        <f t="shared" si="35"/>
        <v>4591</v>
      </c>
      <c r="G156" s="148"/>
      <c r="H156" s="142"/>
      <c r="I156" s="255">
        <f t="shared" si="36"/>
        <v>0</v>
      </c>
      <c r="J156" s="143"/>
      <c r="K156" s="149"/>
      <c r="L156" s="258">
        <f t="shared" si="37"/>
        <v>57543</v>
      </c>
    </row>
    <row r="157" spans="1:12" x14ac:dyDescent="0.3">
      <c r="A157" s="32">
        <v>46070</v>
      </c>
      <c r="B157" s="230" t="s">
        <v>28</v>
      </c>
      <c r="C157" s="244"/>
      <c r="D157" s="236"/>
      <c r="E157" s="231">
        <v>50</v>
      </c>
      <c r="F157" s="54">
        <f>+F156+C157+D157-E157</f>
        <v>4541</v>
      </c>
      <c r="G157" s="240"/>
      <c r="H157" s="226">
        <v>0</v>
      </c>
      <c r="I157" s="62">
        <f t="shared" ref="I157:I163" si="41">+I156+G157-H157</f>
        <v>0</v>
      </c>
      <c r="J157" s="247"/>
      <c r="K157" s="246"/>
      <c r="L157" s="67">
        <f>+L156+J157-K157</f>
        <v>57543</v>
      </c>
    </row>
    <row r="158" spans="1:12" x14ac:dyDescent="0.3">
      <c r="A158" s="32">
        <v>46070</v>
      </c>
      <c r="B158" s="230" t="s">
        <v>345</v>
      </c>
      <c r="C158" s="244"/>
      <c r="D158" s="236"/>
      <c r="E158" s="231">
        <v>1100</v>
      </c>
      <c r="F158" s="54">
        <f t="shared" ref="F158:F163" si="42">+F157+C158+D158-E158</f>
        <v>3441</v>
      </c>
      <c r="G158" s="241"/>
      <c r="H158" s="226"/>
      <c r="I158" s="62">
        <f t="shared" si="41"/>
        <v>0</v>
      </c>
      <c r="J158" s="229"/>
      <c r="K158" s="246"/>
      <c r="L158" s="67">
        <f t="shared" ref="L158:L163" si="43">+L157+J158-K158</f>
        <v>57543</v>
      </c>
    </row>
    <row r="159" spans="1:12" x14ac:dyDescent="0.3">
      <c r="A159" s="32">
        <v>46070</v>
      </c>
      <c r="B159" s="230" t="s">
        <v>346</v>
      </c>
      <c r="C159" s="244"/>
      <c r="D159" s="236"/>
      <c r="E159" s="231">
        <v>475</v>
      </c>
      <c r="F159" s="54">
        <f t="shared" si="42"/>
        <v>2966</v>
      </c>
      <c r="G159" s="241"/>
      <c r="H159" s="226"/>
      <c r="I159" s="62">
        <f t="shared" si="41"/>
        <v>0</v>
      </c>
      <c r="J159" s="130"/>
      <c r="K159" s="246"/>
      <c r="L159" s="67">
        <f t="shared" si="43"/>
        <v>57543</v>
      </c>
    </row>
    <row r="160" spans="1:12" x14ac:dyDescent="0.3">
      <c r="A160" s="32">
        <v>46070</v>
      </c>
      <c r="B160" s="230" t="s">
        <v>347</v>
      </c>
      <c r="C160" s="244"/>
      <c r="D160" s="236"/>
      <c r="E160" s="231">
        <v>2160</v>
      </c>
      <c r="F160" s="54">
        <f t="shared" si="42"/>
        <v>806</v>
      </c>
      <c r="G160" s="241"/>
      <c r="H160" s="280"/>
      <c r="I160" s="62">
        <f t="shared" si="41"/>
        <v>0</v>
      </c>
      <c r="J160" s="37"/>
      <c r="K160" s="246"/>
      <c r="L160" s="67">
        <f t="shared" si="43"/>
        <v>57543</v>
      </c>
    </row>
    <row r="161" spans="1:12" x14ac:dyDescent="0.3">
      <c r="A161" s="32">
        <v>46070</v>
      </c>
      <c r="B161" s="230" t="s">
        <v>348</v>
      </c>
      <c r="C161" s="244"/>
      <c r="D161" s="236"/>
      <c r="E161" s="231">
        <v>25</v>
      </c>
      <c r="F161" s="54">
        <f t="shared" si="42"/>
        <v>781</v>
      </c>
      <c r="G161" s="240"/>
      <c r="H161" s="226"/>
      <c r="I161" s="62">
        <f t="shared" si="41"/>
        <v>0</v>
      </c>
      <c r="J161" s="229"/>
      <c r="K161" s="246"/>
      <c r="L161" s="67">
        <f t="shared" si="43"/>
        <v>57543</v>
      </c>
    </row>
    <row r="162" spans="1:12" x14ac:dyDescent="0.3">
      <c r="A162" s="32">
        <v>46070</v>
      </c>
      <c r="B162" s="232" t="s">
        <v>406</v>
      </c>
      <c r="C162" s="244">
        <v>250</v>
      </c>
      <c r="D162" s="236"/>
      <c r="E162" s="231"/>
      <c r="F162" s="54">
        <f t="shared" si="42"/>
        <v>1031</v>
      </c>
      <c r="G162" s="240"/>
      <c r="H162" s="226"/>
      <c r="I162" s="62">
        <f t="shared" si="41"/>
        <v>0</v>
      </c>
      <c r="J162" s="264"/>
      <c r="K162" s="246"/>
      <c r="L162" s="67">
        <f t="shared" si="43"/>
        <v>57543</v>
      </c>
    </row>
    <row r="163" spans="1:12" x14ac:dyDescent="0.3">
      <c r="A163" s="32">
        <v>46070</v>
      </c>
      <c r="B163" s="232" t="s">
        <v>349</v>
      </c>
      <c r="C163" s="244">
        <v>200</v>
      </c>
      <c r="D163" s="236"/>
      <c r="E163" s="231"/>
      <c r="F163" s="54">
        <f t="shared" si="42"/>
        <v>1231</v>
      </c>
      <c r="G163" s="240"/>
      <c r="H163" s="228"/>
      <c r="I163" s="62">
        <f t="shared" si="41"/>
        <v>0</v>
      </c>
      <c r="J163" s="266"/>
      <c r="K163" s="246"/>
      <c r="L163" s="67">
        <f t="shared" si="43"/>
        <v>57543</v>
      </c>
    </row>
    <row r="164" spans="1:12" x14ac:dyDescent="0.3">
      <c r="A164" s="32"/>
      <c r="B164" s="152"/>
      <c r="C164" s="158"/>
      <c r="D164" s="154"/>
      <c r="E164" s="153"/>
      <c r="F164" s="107">
        <f t="shared" si="35"/>
        <v>1231</v>
      </c>
      <c r="G164" s="155"/>
      <c r="H164" s="150"/>
      <c r="I164" s="255">
        <f t="shared" si="36"/>
        <v>0</v>
      </c>
      <c r="J164" s="151"/>
      <c r="K164" s="159"/>
      <c r="L164" s="258">
        <f t="shared" si="37"/>
        <v>57543</v>
      </c>
    </row>
    <row r="165" spans="1:12" x14ac:dyDescent="0.3">
      <c r="A165" s="32">
        <v>46071</v>
      </c>
      <c r="B165" s="230" t="s">
        <v>84</v>
      </c>
      <c r="C165" s="244"/>
      <c r="D165" s="236"/>
      <c r="E165" s="231"/>
      <c r="F165" s="54">
        <f>+F164+C165+D165-E165</f>
        <v>1231</v>
      </c>
      <c r="G165" s="240"/>
      <c r="H165" s="226">
        <v>0</v>
      </c>
      <c r="I165" s="62">
        <f t="shared" ref="I165:I171" si="44">+I164+G165-H165</f>
        <v>0</v>
      </c>
      <c r="J165" s="247"/>
      <c r="K165" s="246">
        <v>12500</v>
      </c>
      <c r="L165" s="67">
        <f>+L164+J165-K165</f>
        <v>45043</v>
      </c>
    </row>
    <row r="166" spans="1:12" x14ac:dyDescent="0.3">
      <c r="A166" s="32">
        <v>46071</v>
      </c>
      <c r="B166" s="230" t="s">
        <v>350</v>
      </c>
      <c r="C166" s="244"/>
      <c r="D166" s="236"/>
      <c r="E166" s="231">
        <v>15</v>
      </c>
      <c r="F166" s="54">
        <f t="shared" ref="F166:F171" si="45">+F165+C166+D166-E166</f>
        <v>1216</v>
      </c>
      <c r="G166" s="241"/>
      <c r="H166" s="226"/>
      <c r="I166" s="62">
        <f t="shared" si="44"/>
        <v>0</v>
      </c>
      <c r="J166" s="229"/>
      <c r="K166" s="246"/>
      <c r="L166" s="67">
        <f t="shared" ref="L166:L171" si="46">+L165+J166-K166</f>
        <v>45043</v>
      </c>
    </row>
    <row r="167" spans="1:12" x14ac:dyDescent="0.3">
      <c r="A167" s="32">
        <v>46071</v>
      </c>
      <c r="B167" s="230" t="s">
        <v>27</v>
      </c>
      <c r="C167" s="244"/>
      <c r="D167" s="236"/>
      <c r="E167" s="231">
        <v>40</v>
      </c>
      <c r="F167" s="54">
        <f t="shared" si="45"/>
        <v>1176</v>
      </c>
      <c r="G167" s="241"/>
      <c r="H167" s="226"/>
      <c r="I167" s="62">
        <f t="shared" si="44"/>
        <v>0</v>
      </c>
      <c r="J167" s="130"/>
      <c r="K167" s="246"/>
      <c r="L167" s="67">
        <f t="shared" si="46"/>
        <v>45043</v>
      </c>
    </row>
    <row r="168" spans="1:12" x14ac:dyDescent="0.3">
      <c r="A168" s="32">
        <v>46071</v>
      </c>
      <c r="B168" s="230" t="s">
        <v>70</v>
      </c>
      <c r="C168" s="244"/>
      <c r="D168" s="236"/>
      <c r="E168" s="231">
        <v>50</v>
      </c>
      <c r="F168" s="54">
        <f t="shared" si="45"/>
        <v>1126</v>
      </c>
      <c r="G168" s="241"/>
      <c r="H168" s="280"/>
      <c r="I168" s="62">
        <f t="shared" si="44"/>
        <v>0</v>
      </c>
      <c r="J168" s="37"/>
      <c r="K168" s="246"/>
      <c r="L168" s="67">
        <f t="shared" si="46"/>
        <v>45043</v>
      </c>
    </row>
    <row r="169" spans="1:12" x14ac:dyDescent="0.3">
      <c r="A169" s="32">
        <v>46071</v>
      </c>
      <c r="B169" s="230" t="s">
        <v>55</v>
      </c>
      <c r="C169" s="244"/>
      <c r="D169" s="236"/>
      <c r="E169" s="231"/>
      <c r="F169" s="54">
        <f t="shared" si="45"/>
        <v>1126</v>
      </c>
      <c r="G169" s="240"/>
      <c r="H169" s="226"/>
      <c r="I169" s="62">
        <f t="shared" si="44"/>
        <v>0</v>
      </c>
      <c r="J169" s="229"/>
      <c r="K169" s="246">
        <v>10000</v>
      </c>
      <c r="L169" s="67">
        <f t="shared" si="46"/>
        <v>35043</v>
      </c>
    </row>
    <row r="170" spans="1:12" x14ac:dyDescent="0.3">
      <c r="A170" s="32">
        <v>46071</v>
      </c>
      <c r="B170" s="230" t="s">
        <v>351</v>
      </c>
      <c r="C170" s="244"/>
      <c r="D170" s="236"/>
      <c r="E170" s="231">
        <v>200</v>
      </c>
      <c r="F170" s="54">
        <f t="shared" si="45"/>
        <v>926</v>
      </c>
      <c r="G170" s="240"/>
      <c r="H170" s="226"/>
      <c r="I170" s="62">
        <f t="shared" si="44"/>
        <v>0</v>
      </c>
      <c r="J170" s="264"/>
      <c r="K170" s="246"/>
      <c r="L170" s="67">
        <f t="shared" si="46"/>
        <v>35043</v>
      </c>
    </row>
    <row r="171" spans="1:12" x14ac:dyDescent="0.3">
      <c r="A171" s="32">
        <v>46071</v>
      </c>
      <c r="B171" s="230" t="s">
        <v>352</v>
      </c>
      <c r="C171" s="244"/>
      <c r="D171" s="236"/>
      <c r="E171" s="231"/>
      <c r="F171" s="54">
        <f t="shared" si="45"/>
        <v>926</v>
      </c>
      <c r="G171" s="240"/>
      <c r="H171" s="228"/>
      <c r="I171" s="62">
        <f t="shared" si="44"/>
        <v>0</v>
      </c>
      <c r="J171" s="266"/>
      <c r="K171" s="246">
        <v>6000</v>
      </c>
      <c r="L171" s="67">
        <f t="shared" si="46"/>
        <v>29043</v>
      </c>
    </row>
    <row r="172" spans="1:12" x14ac:dyDescent="0.3">
      <c r="A172" s="32"/>
      <c r="B172" s="152"/>
      <c r="C172" s="157"/>
      <c r="D172" s="154"/>
      <c r="E172" s="153"/>
      <c r="F172" s="107">
        <f t="shared" si="35"/>
        <v>926</v>
      </c>
      <c r="G172" s="156"/>
      <c r="H172" s="150"/>
      <c r="I172" s="255">
        <f t="shared" si="36"/>
        <v>0</v>
      </c>
      <c r="J172" s="160"/>
      <c r="K172" s="159"/>
      <c r="L172" s="258">
        <f t="shared" si="37"/>
        <v>29043</v>
      </c>
    </row>
    <row r="173" spans="1:12" x14ac:dyDescent="0.3">
      <c r="A173" s="32">
        <v>46072</v>
      </c>
      <c r="B173" s="234" t="s">
        <v>16</v>
      </c>
      <c r="C173" s="244"/>
      <c r="D173" s="236">
        <v>1500</v>
      </c>
      <c r="E173" s="231"/>
      <c r="F173" s="54">
        <f>+F172+C173+D173-E173</f>
        <v>2426</v>
      </c>
      <c r="G173" s="240"/>
      <c r="H173" s="226">
        <v>0</v>
      </c>
      <c r="I173" s="62">
        <f t="shared" ref="I173:I184" si="47">+I172+G173-H173</f>
        <v>0</v>
      </c>
      <c r="J173" s="247"/>
      <c r="K173" s="246"/>
      <c r="L173" s="67">
        <f>+L172+J173-K173</f>
        <v>29043</v>
      </c>
    </row>
    <row r="174" spans="1:12" x14ac:dyDescent="0.3">
      <c r="A174" s="32">
        <v>46072</v>
      </c>
      <c r="B174" s="230" t="s">
        <v>67</v>
      </c>
      <c r="C174" s="244"/>
      <c r="D174" s="236"/>
      <c r="E174" s="231">
        <v>20</v>
      </c>
      <c r="F174" s="54">
        <f t="shared" ref="F174:F184" si="48">+F173+C174+D174-E174</f>
        <v>2406</v>
      </c>
      <c r="G174" s="241"/>
      <c r="H174" s="226"/>
      <c r="I174" s="62">
        <f t="shared" si="47"/>
        <v>0</v>
      </c>
      <c r="J174" s="229"/>
      <c r="K174" s="246"/>
      <c r="L174" s="67">
        <f t="shared" ref="L174:L184" si="49">+L173+J174-K174</f>
        <v>29043</v>
      </c>
    </row>
    <row r="175" spans="1:12" x14ac:dyDescent="0.3">
      <c r="A175" s="32">
        <v>46072</v>
      </c>
      <c r="B175" s="230" t="s">
        <v>48</v>
      </c>
      <c r="C175" s="244"/>
      <c r="D175" s="236"/>
      <c r="E175" s="231">
        <v>60</v>
      </c>
      <c r="F175" s="54">
        <f t="shared" si="48"/>
        <v>2346</v>
      </c>
      <c r="G175" s="241"/>
      <c r="H175" s="226"/>
      <c r="I175" s="62">
        <f t="shared" si="47"/>
        <v>0</v>
      </c>
      <c r="J175" s="130"/>
      <c r="K175" s="246"/>
      <c r="L175" s="67">
        <f t="shared" si="49"/>
        <v>29043</v>
      </c>
    </row>
    <row r="176" spans="1:12" x14ac:dyDescent="0.3">
      <c r="A176" s="32">
        <v>46072</v>
      </c>
      <c r="B176" s="230" t="s">
        <v>17</v>
      </c>
      <c r="C176" s="244"/>
      <c r="D176" s="236"/>
      <c r="E176" s="231">
        <v>60</v>
      </c>
      <c r="F176" s="54">
        <f t="shared" si="48"/>
        <v>2286</v>
      </c>
      <c r="G176" s="241"/>
      <c r="H176" s="280"/>
      <c r="I176" s="62">
        <f t="shared" si="47"/>
        <v>0</v>
      </c>
      <c r="J176" s="37"/>
      <c r="K176" s="246"/>
      <c r="L176" s="67">
        <f t="shared" si="49"/>
        <v>29043</v>
      </c>
    </row>
    <row r="177" spans="1:12" x14ac:dyDescent="0.3">
      <c r="A177" s="32">
        <v>46072</v>
      </c>
      <c r="B177" s="230" t="s">
        <v>353</v>
      </c>
      <c r="C177" s="244"/>
      <c r="D177" s="236"/>
      <c r="E177" s="231">
        <v>913</v>
      </c>
      <c r="F177" s="54">
        <f t="shared" si="48"/>
        <v>1373</v>
      </c>
      <c r="G177" s="240"/>
      <c r="H177" s="226"/>
      <c r="I177" s="62">
        <f t="shared" si="47"/>
        <v>0</v>
      </c>
      <c r="J177" s="229"/>
      <c r="K177" s="246"/>
      <c r="L177" s="67">
        <f t="shared" si="49"/>
        <v>29043</v>
      </c>
    </row>
    <row r="178" spans="1:12" x14ac:dyDescent="0.3">
      <c r="A178" s="32">
        <v>46072</v>
      </c>
      <c r="B178" s="230" t="s">
        <v>354</v>
      </c>
      <c r="C178" s="244"/>
      <c r="D178" s="236"/>
      <c r="E178" s="231">
        <v>10</v>
      </c>
      <c r="F178" s="54">
        <f t="shared" si="48"/>
        <v>1363</v>
      </c>
      <c r="G178" s="240"/>
      <c r="H178" s="226"/>
      <c r="I178" s="62">
        <f t="shared" si="47"/>
        <v>0</v>
      </c>
      <c r="J178" s="264"/>
      <c r="K178" s="246"/>
      <c r="L178" s="67">
        <f t="shared" si="49"/>
        <v>29043</v>
      </c>
    </row>
    <row r="179" spans="1:12" x14ac:dyDescent="0.3">
      <c r="A179" s="32">
        <v>46072</v>
      </c>
      <c r="B179" s="230" t="s">
        <v>355</v>
      </c>
      <c r="C179" s="244"/>
      <c r="D179" s="236"/>
      <c r="E179" s="231">
        <v>320</v>
      </c>
      <c r="F179" s="54">
        <f t="shared" si="48"/>
        <v>1043</v>
      </c>
      <c r="G179" s="240"/>
      <c r="H179" s="228"/>
      <c r="I179" s="62">
        <f t="shared" si="47"/>
        <v>0</v>
      </c>
      <c r="J179" s="266"/>
      <c r="K179" s="246"/>
      <c r="L179" s="67">
        <f t="shared" si="49"/>
        <v>29043</v>
      </c>
    </row>
    <row r="180" spans="1:12" x14ac:dyDescent="0.3">
      <c r="A180" s="32">
        <v>46072</v>
      </c>
      <c r="B180" s="230" t="s">
        <v>356</v>
      </c>
      <c r="C180" s="244"/>
      <c r="D180" s="236"/>
      <c r="E180" s="231">
        <v>10</v>
      </c>
      <c r="F180" s="54">
        <f t="shared" si="48"/>
        <v>1033</v>
      </c>
      <c r="G180" s="241"/>
      <c r="H180" s="226"/>
      <c r="I180" s="62">
        <f t="shared" si="47"/>
        <v>0</v>
      </c>
      <c r="J180" s="233"/>
      <c r="K180" s="246"/>
      <c r="L180" s="67">
        <f t="shared" si="49"/>
        <v>29043</v>
      </c>
    </row>
    <row r="181" spans="1:12" x14ac:dyDescent="0.3">
      <c r="A181" s="32">
        <v>46072</v>
      </c>
      <c r="B181" s="230" t="s">
        <v>357</v>
      </c>
      <c r="C181" s="244"/>
      <c r="D181" s="236"/>
      <c r="E181" s="231">
        <v>30</v>
      </c>
      <c r="F181" s="54">
        <f t="shared" si="48"/>
        <v>1003</v>
      </c>
      <c r="G181" s="240"/>
      <c r="H181" s="226"/>
      <c r="I181" s="62">
        <f t="shared" si="47"/>
        <v>0</v>
      </c>
      <c r="J181" s="271"/>
      <c r="K181" s="246"/>
      <c r="L181" s="67">
        <f t="shared" si="49"/>
        <v>29043</v>
      </c>
    </row>
    <row r="182" spans="1:12" x14ac:dyDescent="0.3">
      <c r="A182" s="32">
        <v>46072</v>
      </c>
      <c r="B182" s="232" t="s">
        <v>358</v>
      </c>
      <c r="C182" s="244">
        <v>3410</v>
      </c>
      <c r="D182" s="236"/>
      <c r="E182" s="231"/>
      <c r="F182" s="54">
        <f t="shared" si="48"/>
        <v>4413</v>
      </c>
      <c r="G182" s="240"/>
      <c r="H182" s="226"/>
      <c r="I182" s="62">
        <f t="shared" si="47"/>
        <v>0</v>
      </c>
      <c r="J182" s="264">
        <v>18500</v>
      </c>
      <c r="K182" s="246"/>
      <c r="L182" s="67">
        <f t="shared" si="49"/>
        <v>47543</v>
      </c>
    </row>
    <row r="183" spans="1:12" x14ac:dyDescent="0.3">
      <c r="A183" s="32">
        <v>46072</v>
      </c>
      <c r="B183" s="230" t="s">
        <v>359</v>
      </c>
      <c r="C183" s="244"/>
      <c r="D183" s="236"/>
      <c r="E183" s="231">
        <v>100</v>
      </c>
      <c r="F183" s="54">
        <f t="shared" si="48"/>
        <v>4313</v>
      </c>
      <c r="G183" s="240"/>
      <c r="H183" s="226"/>
      <c r="I183" s="62">
        <f t="shared" si="47"/>
        <v>0</v>
      </c>
      <c r="J183" s="248"/>
      <c r="K183" s="246"/>
      <c r="L183" s="67">
        <f t="shared" si="49"/>
        <v>47543</v>
      </c>
    </row>
    <row r="184" spans="1:12" x14ac:dyDescent="0.3">
      <c r="A184" s="32">
        <v>46072</v>
      </c>
      <c r="B184" s="230" t="s">
        <v>196</v>
      </c>
      <c r="C184" s="244"/>
      <c r="D184" s="236"/>
      <c r="E184" s="231">
        <v>180</v>
      </c>
      <c r="F184" s="54">
        <f t="shared" si="48"/>
        <v>4133</v>
      </c>
      <c r="G184" s="240"/>
      <c r="H184" s="226"/>
      <c r="I184" s="62">
        <f t="shared" si="47"/>
        <v>0</v>
      </c>
      <c r="J184" s="248"/>
      <c r="K184" s="246"/>
      <c r="L184" s="67">
        <f t="shared" si="49"/>
        <v>47543</v>
      </c>
    </row>
    <row r="185" spans="1:12" x14ac:dyDescent="0.3">
      <c r="A185" s="32"/>
      <c r="B185" s="162"/>
      <c r="C185" s="166"/>
      <c r="D185" s="164"/>
      <c r="E185" s="163"/>
      <c r="F185" s="107">
        <f t="shared" si="35"/>
        <v>4133</v>
      </c>
      <c r="G185" s="165"/>
      <c r="H185" s="161"/>
      <c r="I185" s="255">
        <f t="shared" si="36"/>
        <v>0</v>
      </c>
      <c r="J185" s="168"/>
      <c r="K185" s="167"/>
      <c r="L185" s="258">
        <f t="shared" si="37"/>
        <v>47543</v>
      </c>
    </row>
    <row r="186" spans="1:12" x14ac:dyDescent="0.3">
      <c r="A186" s="32">
        <v>46073</v>
      </c>
      <c r="B186" s="230" t="s">
        <v>360</v>
      </c>
      <c r="C186" s="245"/>
      <c r="D186" s="237"/>
      <c r="E186" s="231">
        <v>240</v>
      </c>
      <c r="F186" s="54">
        <f>+F185+C186+D186-E186</f>
        <v>3893</v>
      </c>
      <c r="G186" s="240"/>
      <c r="H186" s="226">
        <v>0</v>
      </c>
      <c r="I186" s="62">
        <f t="shared" ref="I186:I197" si="50">+I185+G186-H186</f>
        <v>0</v>
      </c>
      <c r="J186" s="247"/>
      <c r="K186" s="246"/>
      <c r="L186" s="67">
        <f>+L185+J186-K186</f>
        <v>47543</v>
      </c>
    </row>
    <row r="187" spans="1:12" x14ac:dyDescent="0.3">
      <c r="A187" s="32">
        <v>46073</v>
      </c>
      <c r="B187" s="230" t="s">
        <v>361</v>
      </c>
      <c r="C187" s="245"/>
      <c r="D187" s="237"/>
      <c r="E187" s="231">
        <v>872</v>
      </c>
      <c r="F187" s="54">
        <f t="shared" ref="F187:F198" si="51">+F186+C187+D187-E187</f>
        <v>3021</v>
      </c>
      <c r="G187" s="241"/>
      <c r="H187" s="226"/>
      <c r="I187" s="62">
        <f t="shared" si="50"/>
        <v>0</v>
      </c>
      <c r="J187" s="229"/>
      <c r="K187" s="246"/>
      <c r="L187" s="67">
        <f t="shared" ref="L187:L198" si="52">+L186+J187-K187</f>
        <v>47543</v>
      </c>
    </row>
    <row r="188" spans="1:12" x14ac:dyDescent="0.3">
      <c r="A188" s="32">
        <v>46073</v>
      </c>
      <c r="B188" s="230" t="s">
        <v>362</v>
      </c>
      <c r="C188" s="245"/>
      <c r="D188" s="237"/>
      <c r="E188" s="231">
        <v>1065</v>
      </c>
      <c r="F188" s="54">
        <f t="shared" si="51"/>
        <v>1956</v>
      </c>
      <c r="G188" s="241"/>
      <c r="H188" s="226"/>
      <c r="I188" s="62">
        <f t="shared" si="50"/>
        <v>0</v>
      </c>
      <c r="J188" s="130"/>
      <c r="K188" s="246"/>
      <c r="L188" s="67">
        <f t="shared" si="52"/>
        <v>47543</v>
      </c>
    </row>
    <row r="189" spans="1:12" x14ac:dyDescent="0.3">
      <c r="A189" s="32">
        <v>46073</v>
      </c>
      <c r="B189" s="230" t="s">
        <v>363</v>
      </c>
      <c r="C189" s="245"/>
      <c r="D189" s="237"/>
      <c r="E189" s="231">
        <v>632</v>
      </c>
      <c r="F189" s="54">
        <f t="shared" si="51"/>
        <v>1324</v>
      </c>
      <c r="G189" s="241"/>
      <c r="H189" s="280"/>
      <c r="I189" s="62">
        <f t="shared" si="50"/>
        <v>0</v>
      </c>
      <c r="J189" s="37"/>
      <c r="K189" s="246"/>
      <c r="L189" s="67">
        <f t="shared" si="52"/>
        <v>47543</v>
      </c>
    </row>
    <row r="190" spans="1:12" x14ac:dyDescent="0.3">
      <c r="A190" s="32">
        <v>46073</v>
      </c>
      <c r="B190" s="230" t="s">
        <v>364</v>
      </c>
      <c r="C190" s="245"/>
      <c r="D190" s="237"/>
      <c r="E190" s="231">
        <v>100</v>
      </c>
      <c r="F190" s="54">
        <f t="shared" si="51"/>
        <v>1224</v>
      </c>
      <c r="G190" s="240"/>
      <c r="H190" s="226"/>
      <c r="I190" s="62">
        <f t="shared" si="50"/>
        <v>0</v>
      </c>
      <c r="J190" s="229"/>
      <c r="K190" s="246"/>
      <c r="L190" s="67">
        <f t="shared" si="52"/>
        <v>47543</v>
      </c>
    </row>
    <row r="191" spans="1:12" x14ac:dyDescent="0.3">
      <c r="A191" s="32">
        <v>46073</v>
      </c>
      <c r="B191" s="230" t="s">
        <v>365</v>
      </c>
      <c r="C191" s="245"/>
      <c r="D191" s="237"/>
      <c r="E191" s="231">
        <v>225</v>
      </c>
      <c r="F191" s="54">
        <f t="shared" si="51"/>
        <v>999</v>
      </c>
      <c r="G191" s="240"/>
      <c r="H191" s="226"/>
      <c r="I191" s="62">
        <f t="shared" si="50"/>
        <v>0</v>
      </c>
      <c r="J191" s="264"/>
      <c r="K191" s="246"/>
      <c r="L191" s="67">
        <f t="shared" si="52"/>
        <v>47543</v>
      </c>
    </row>
    <row r="192" spans="1:12" x14ac:dyDescent="0.3">
      <c r="A192" s="32">
        <v>46073</v>
      </c>
      <c r="B192" s="230" t="s">
        <v>366</v>
      </c>
      <c r="C192" s="245"/>
      <c r="D192" s="237"/>
      <c r="E192" s="231">
        <v>138</v>
      </c>
      <c r="F192" s="54">
        <f t="shared" si="51"/>
        <v>861</v>
      </c>
      <c r="G192" s="240"/>
      <c r="H192" s="228"/>
      <c r="I192" s="62">
        <f t="shared" si="50"/>
        <v>0</v>
      </c>
      <c r="J192" s="266"/>
      <c r="K192" s="246"/>
      <c r="L192" s="67">
        <f t="shared" si="52"/>
        <v>47543</v>
      </c>
    </row>
    <row r="193" spans="1:12" x14ac:dyDescent="0.3">
      <c r="A193" s="32">
        <v>46073</v>
      </c>
      <c r="B193" s="230" t="s">
        <v>367</v>
      </c>
      <c r="C193" s="245"/>
      <c r="D193" s="237"/>
      <c r="E193" s="231">
        <v>300</v>
      </c>
      <c r="F193" s="54">
        <f t="shared" si="51"/>
        <v>561</v>
      </c>
      <c r="G193" s="241"/>
      <c r="H193" s="226"/>
      <c r="I193" s="62">
        <f t="shared" si="50"/>
        <v>0</v>
      </c>
      <c r="J193" s="233"/>
      <c r="K193" s="246"/>
      <c r="L193" s="67">
        <f t="shared" si="52"/>
        <v>47543</v>
      </c>
    </row>
    <row r="194" spans="1:12" x14ac:dyDescent="0.3">
      <c r="A194" s="32">
        <v>46073</v>
      </c>
      <c r="B194" s="230" t="s">
        <v>368</v>
      </c>
      <c r="C194" s="245"/>
      <c r="D194" s="237"/>
      <c r="E194" s="231">
        <v>20</v>
      </c>
      <c r="F194" s="54">
        <f t="shared" si="51"/>
        <v>541</v>
      </c>
      <c r="G194" s="240"/>
      <c r="H194" s="226"/>
      <c r="I194" s="62">
        <f t="shared" si="50"/>
        <v>0</v>
      </c>
      <c r="J194" s="271"/>
      <c r="K194" s="246"/>
      <c r="L194" s="67">
        <f t="shared" si="52"/>
        <v>47543</v>
      </c>
    </row>
    <row r="195" spans="1:12" x14ac:dyDescent="0.3">
      <c r="A195" s="32">
        <v>46073</v>
      </c>
      <c r="B195" s="230" t="s">
        <v>369</v>
      </c>
      <c r="C195" s="245"/>
      <c r="D195" s="237"/>
      <c r="E195" s="231">
        <v>100</v>
      </c>
      <c r="F195" s="54">
        <f t="shared" si="51"/>
        <v>441</v>
      </c>
      <c r="G195" s="240"/>
      <c r="H195" s="226"/>
      <c r="I195" s="62">
        <f t="shared" si="50"/>
        <v>0</v>
      </c>
      <c r="J195" s="264"/>
      <c r="K195" s="246"/>
      <c r="L195" s="67">
        <f t="shared" si="52"/>
        <v>47543</v>
      </c>
    </row>
    <row r="196" spans="1:12" x14ac:dyDescent="0.3">
      <c r="A196" s="32">
        <v>46073</v>
      </c>
      <c r="B196" s="230" t="s">
        <v>52</v>
      </c>
      <c r="C196" s="245"/>
      <c r="D196" s="237"/>
      <c r="E196" s="231"/>
      <c r="F196" s="54">
        <f t="shared" si="51"/>
        <v>441</v>
      </c>
      <c r="G196" s="240"/>
      <c r="H196" s="226"/>
      <c r="I196" s="62">
        <f t="shared" si="50"/>
        <v>0</v>
      </c>
      <c r="J196" s="248"/>
      <c r="K196" s="246">
        <v>10000</v>
      </c>
      <c r="L196" s="67">
        <f t="shared" si="52"/>
        <v>37543</v>
      </c>
    </row>
    <row r="197" spans="1:12" s="225" customFormat="1" x14ac:dyDescent="0.3">
      <c r="A197" s="32">
        <v>46073</v>
      </c>
      <c r="B197" s="222" t="s">
        <v>370</v>
      </c>
      <c r="C197" s="245"/>
      <c r="D197" s="237">
        <v>150</v>
      </c>
      <c r="E197" s="231"/>
      <c r="F197" s="54">
        <f t="shared" si="51"/>
        <v>591</v>
      </c>
      <c r="G197" s="240"/>
      <c r="H197" s="226"/>
      <c r="I197" s="62">
        <f t="shared" si="50"/>
        <v>0</v>
      </c>
      <c r="J197" s="130">
        <v>12500</v>
      </c>
      <c r="K197" s="246"/>
      <c r="L197" s="67">
        <f t="shared" si="52"/>
        <v>50043</v>
      </c>
    </row>
    <row r="198" spans="1:12" x14ac:dyDescent="0.3">
      <c r="A198" s="32"/>
      <c r="B198" s="234"/>
      <c r="C198" s="173"/>
      <c r="D198" s="236"/>
      <c r="E198" s="170"/>
      <c r="F198" s="107">
        <f t="shared" si="51"/>
        <v>591</v>
      </c>
      <c r="G198" s="172"/>
      <c r="H198" s="169"/>
      <c r="I198" s="255">
        <f>I196+G198-H198</f>
        <v>0</v>
      </c>
      <c r="J198" s="171"/>
      <c r="K198" s="174"/>
      <c r="L198" s="67">
        <f t="shared" si="52"/>
        <v>50043</v>
      </c>
    </row>
    <row r="199" spans="1:12" x14ac:dyDescent="0.3">
      <c r="A199" s="32">
        <v>46076</v>
      </c>
      <c r="B199" s="230" t="s">
        <v>371</v>
      </c>
      <c r="C199" s="245"/>
      <c r="D199" s="237"/>
      <c r="E199" s="231">
        <v>20</v>
      </c>
      <c r="F199" s="54">
        <f>+F198+C199+D199-E199</f>
        <v>571</v>
      </c>
      <c r="G199" s="240"/>
      <c r="H199" s="226">
        <v>0</v>
      </c>
      <c r="I199" s="62">
        <f t="shared" ref="I199:I206" si="53">+I198+G199-H199</f>
        <v>0</v>
      </c>
      <c r="J199" s="247"/>
      <c r="K199" s="246"/>
      <c r="L199" s="67">
        <f>+L198+J199-K199</f>
        <v>50043</v>
      </c>
    </row>
    <row r="200" spans="1:12" x14ac:dyDescent="0.3">
      <c r="A200" s="32">
        <v>46076</v>
      </c>
      <c r="B200" s="230" t="s">
        <v>20</v>
      </c>
      <c r="C200" s="245"/>
      <c r="D200" s="237"/>
      <c r="E200" s="231">
        <v>100</v>
      </c>
      <c r="F200" s="54">
        <f t="shared" ref="F200:F206" si="54">+F199+C200+D200-E200</f>
        <v>471</v>
      </c>
      <c r="G200" s="241"/>
      <c r="H200" s="226"/>
      <c r="I200" s="62">
        <f t="shared" si="53"/>
        <v>0</v>
      </c>
      <c r="J200" s="229"/>
      <c r="K200" s="246"/>
      <c r="L200" s="67">
        <f t="shared" ref="L200:L206" si="55">+L199+J200-K200</f>
        <v>50043</v>
      </c>
    </row>
    <row r="201" spans="1:12" x14ac:dyDescent="0.3">
      <c r="A201" s="32">
        <v>46076</v>
      </c>
      <c r="B201" s="230" t="s">
        <v>27</v>
      </c>
      <c r="C201" s="245"/>
      <c r="D201" s="237"/>
      <c r="E201" s="231">
        <v>40</v>
      </c>
      <c r="F201" s="54">
        <f t="shared" si="54"/>
        <v>431</v>
      </c>
      <c r="G201" s="241"/>
      <c r="H201" s="226"/>
      <c r="I201" s="62">
        <f t="shared" si="53"/>
        <v>0</v>
      </c>
      <c r="J201" s="130"/>
      <c r="K201" s="246"/>
      <c r="L201" s="67">
        <f t="shared" si="55"/>
        <v>50043</v>
      </c>
    </row>
    <row r="202" spans="1:12" x14ac:dyDescent="0.3">
      <c r="A202" s="32">
        <v>46076</v>
      </c>
      <c r="B202" s="230" t="s">
        <v>372</v>
      </c>
      <c r="C202" s="245"/>
      <c r="D202" s="237"/>
      <c r="E202" s="231"/>
      <c r="F202" s="54">
        <f t="shared" si="54"/>
        <v>431</v>
      </c>
      <c r="G202" s="241"/>
      <c r="H202" s="280"/>
      <c r="I202" s="62">
        <f t="shared" si="53"/>
        <v>0</v>
      </c>
      <c r="J202" s="37"/>
      <c r="K202" s="246">
        <v>10000</v>
      </c>
      <c r="L202" s="67">
        <f t="shared" si="55"/>
        <v>40043</v>
      </c>
    </row>
    <row r="203" spans="1:12" x14ac:dyDescent="0.3">
      <c r="A203" s="32">
        <v>46076</v>
      </c>
      <c r="B203" s="230" t="s">
        <v>373</v>
      </c>
      <c r="C203" s="245"/>
      <c r="D203" s="237"/>
      <c r="E203" s="231">
        <v>70</v>
      </c>
      <c r="F203" s="54">
        <f t="shared" si="54"/>
        <v>361</v>
      </c>
      <c r="G203" s="240"/>
      <c r="H203" s="226"/>
      <c r="I203" s="62">
        <f t="shared" si="53"/>
        <v>0</v>
      </c>
      <c r="J203" s="229"/>
      <c r="K203" s="246"/>
      <c r="L203" s="67">
        <f t="shared" si="55"/>
        <v>40043</v>
      </c>
    </row>
    <row r="204" spans="1:12" x14ac:dyDescent="0.3">
      <c r="A204" s="32">
        <v>46076</v>
      </c>
      <c r="B204" s="230" t="s">
        <v>374</v>
      </c>
      <c r="C204" s="245"/>
      <c r="D204" s="237"/>
      <c r="E204" s="231">
        <v>20</v>
      </c>
      <c r="F204" s="54">
        <f t="shared" si="54"/>
        <v>341</v>
      </c>
      <c r="G204" s="240"/>
      <c r="H204" s="226"/>
      <c r="I204" s="62">
        <f t="shared" si="53"/>
        <v>0</v>
      </c>
      <c r="J204" s="264"/>
      <c r="K204" s="246"/>
      <c r="L204" s="67">
        <f t="shared" si="55"/>
        <v>40043</v>
      </c>
    </row>
    <row r="205" spans="1:12" x14ac:dyDescent="0.3">
      <c r="A205" s="32">
        <v>46076</v>
      </c>
      <c r="B205" s="230" t="s">
        <v>88</v>
      </c>
      <c r="C205" s="245"/>
      <c r="D205" s="237"/>
      <c r="E205" s="231">
        <v>20</v>
      </c>
      <c r="F205" s="54">
        <f t="shared" si="54"/>
        <v>321</v>
      </c>
      <c r="G205" s="240"/>
      <c r="H205" s="228"/>
      <c r="I205" s="62">
        <f t="shared" si="53"/>
        <v>0</v>
      </c>
      <c r="J205" s="266"/>
      <c r="K205" s="246"/>
      <c r="L205" s="67">
        <f t="shared" si="55"/>
        <v>40043</v>
      </c>
    </row>
    <row r="206" spans="1:12" x14ac:dyDescent="0.3">
      <c r="A206" s="32">
        <v>46076</v>
      </c>
      <c r="B206" s="230" t="s">
        <v>375</v>
      </c>
      <c r="C206" s="245"/>
      <c r="D206" s="237"/>
      <c r="E206" s="231"/>
      <c r="F206" s="54">
        <f t="shared" si="54"/>
        <v>321</v>
      </c>
      <c r="G206" s="241"/>
      <c r="H206" s="226"/>
      <c r="I206" s="62">
        <f t="shared" si="53"/>
        <v>0</v>
      </c>
      <c r="J206" s="233"/>
      <c r="K206" s="246">
        <v>12500</v>
      </c>
      <c r="L206" s="67">
        <f t="shared" si="55"/>
        <v>27543</v>
      </c>
    </row>
    <row r="207" spans="1:12" x14ac:dyDescent="0.3">
      <c r="A207" s="32"/>
      <c r="B207" s="176"/>
      <c r="C207" s="181"/>
      <c r="D207" s="179"/>
      <c r="E207" s="177"/>
      <c r="F207" s="107">
        <f t="shared" ref="F207:F264" si="56">F206+C207+D207-E207</f>
        <v>321</v>
      </c>
      <c r="G207" s="180"/>
      <c r="H207" s="175"/>
      <c r="I207" s="255">
        <f t="shared" ref="I207:I264" si="57">I206+G207-H207</f>
        <v>0</v>
      </c>
      <c r="J207" s="178"/>
      <c r="K207" s="182"/>
      <c r="L207" s="258">
        <f t="shared" ref="L207:L252" si="58">L206+J207-K207</f>
        <v>27543</v>
      </c>
    </row>
    <row r="208" spans="1:12" x14ac:dyDescent="0.3">
      <c r="A208" s="32">
        <v>46077</v>
      </c>
      <c r="B208" s="230" t="s">
        <v>376</v>
      </c>
      <c r="C208" s="245"/>
      <c r="D208" s="237"/>
      <c r="E208" s="231">
        <v>32</v>
      </c>
      <c r="F208" s="54">
        <f>+F207+C208+D208-E208</f>
        <v>289</v>
      </c>
      <c r="G208" s="240"/>
      <c r="H208" s="226">
        <v>0</v>
      </c>
      <c r="I208" s="62">
        <f t="shared" ref="I208:I219" si="59">+I207+G208-H208</f>
        <v>0</v>
      </c>
      <c r="J208" s="247"/>
      <c r="K208" s="246"/>
      <c r="L208" s="67">
        <f>+L207+J208-K208</f>
        <v>27543</v>
      </c>
    </row>
    <row r="209" spans="1:12" x14ac:dyDescent="0.3">
      <c r="A209" s="32">
        <v>46077</v>
      </c>
      <c r="B209" s="234" t="s">
        <v>16</v>
      </c>
      <c r="C209" s="245"/>
      <c r="D209" s="236">
        <v>2500</v>
      </c>
      <c r="E209" s="231"/>
      <c r="F209" s="54">
        <f t="shared" ref="F209:F219" si="60">+F208+C209+D209-E209</f>
        <v>2789</v>
      </c>
      <c r="G209" s="241"/>
      <c r="H209" s="226"/>
      <c r="I209" s="62">
        <f t="shared" si="59"/>
        <v>0</v>
      </c>
      <c r="J209" s="229"/>
      <c r="K209" s="246"/>
      <c r="L209" s="67">
        <f t="shared" ref="L209:L219" si="61">+L208+J209-K209</f>
        <v>27543</v>
      </c>
    </row>
    <row r="210" spans="1:12" x14ac:dyDescent="0.3">
      <c r="A210" s="32">
        <v>46077</v>
      </c>
      <c r="B210" s="230" t="s">
        <v>377</v>
      </c>
      <c r="C210" s="245"/>
      <c r="D210" s="237"/>
      <c r="E210" s="231">
        <v>22</v>
      </c>
      <c r="F210" s="54">
        <f t="shared" si="60"/>
        <v>2767</v>
      </c>
      <c r="G210" s="241"/>
      <c r="H210" s="226"/>
      <c r="I210" s="62">
        <f t="shared" si="59"/>
        <v>0</v>
      </c>
      <c r="J210" s="130"/>
      <c r="K210" s="246"/>
      <c r="L210" s="67">
        <f t="shared" si="61"/>
        <v>27543</v>
      </c>
    </row>
    <row r="211" spans="1:12" x14ac:dyDescent="0.3">
      <c r="A211" s="32">
        <v>46077</v>
      </c>
      <c r="B211" s="230" t="s">
        <v>378</v>
      </c>
      <c r="C211" s="245"/>
      <c r="D211" s="237"/>
      <c r="E211" s="231">
        <v>50</v>
      </c>
      <c r="F211" s="54">
        <f t="shared" si="60"/>
        <v>2717</v>
      </c>
      <c r="G211" s="241"/>
      <c r="H211" s="280"/>
      <c r="I211" s="62">
        <f t="shared" si="59"/>
        <v>0</v>
      </c>
      <c r="J211" s="37"/>
      <c r="K211" s="246"/>
      <c r="L211" s="67">
        <f t="shared" si="61"/>
        <v>27543</v>
      </c>
    </row>
    <row r="212" spans="1:12" x14ac:dyDescent="0.3">
      <c r="A212" s="32">
        <v>46077</v>
      </c>
      <c r="B212" s="230" t="s">
        <v>379</v>
      </c>
      <c r="C212" s="245"/>
      <c r="D212" s="237"/>
      <c r="E212" s="231">
        <v>338</v>
      </c>
      <c r="F212" s="54">
        <f t="shared" si="60"/>
        <v>2379</v>
      </c>
      <c r="G212" s="240"/>
      <c r="H212" s="226"/>
      <c r="I212" s="62">
        <f t="shared" si="59"/>
        <v>0</v>
      </c>
      <c r="J212" s="229"/>
      <c r="K212" s="246"/>
      <c r="L212" s="67">
        <f t="shared" si="61"/>
        <v>27543</v>
      </c>
    </row>
    <row r="213" spans="1:12" x14ac:dyDescent="0.3">
      <c r="A213" s="32">
        <v>46077</v>
      </c>
      <c r="B213" s="230" t="s">
        <v>45</v>
      </c>
      <c r="C213" s="245"/>
      <c r="D213" s="237"/>
      <c r="E213" s="231">
        <v>80</v>
      </c>
      <c r="F213" s="54">
        <f t="shared" si="60"/>
        <v>2299</v>
      </c>
      <c r="G213" s="240"/>
      <c r="H213" s="226"/>
      <c r="I213" s="62">
        <f t="shared" si="59"/>
        <v>0</v>
      </c>
      <c r="J213" s="264"/>
      <c r="K213" s="246"/>
      <c r="L213" s="67">
        <f t="shared" si="61"/>
        <v>27543</v>
      </c>
    </row>
    <row r="214" spans="1:12" x14ac:dyDescent="0.3">
      <c r="A214" s="32">
        <v>46077</v>
      </c>
      <c r="B214" s="230" t="s">
        <v>25</v>
      </c>
      <c r="C214" s="245"/>
      <c r="D214" s="237"/>
      <c r="E214" s="231">
        <v>20</v>
      </c>
      <c r="F214" s="54">
        <f t="shared" si="60"/>
        <v>2279</v>
      </c>
      <c r="G214" s="240"/>
      <c r="H214" s="228"/>
      <c r="I214" s="62">
        <f t="shared" si="59"/>
        <v>0</v>
      </c>
      <c r="J214" s="266"/>
      <c r="K214" s="246"/>
      <c r="L214" s="67">
        <f t="shared" si="61"/>
        <v>27543</v>
      </c>
    </row>
    <row r="215" spans="1:12" x14ac:dyDescent="0.3">
      <c r="A215" s="32">
        <v>46077</v>
      </c>
      <c r="B215" s="230" t="s">
        <v>292</v>
      </c>
      <c r="C215" s="245"/>
      <c r="D215" s="237"/>
      <c r="E215" s="231">
        <v>40</v>
      </c>
      <c r="F215" s="54">
        <f t="shared" si="60"/>
        <v>2239</v>
      </c>
      <c r="G215" s="241"/>
      <c r="H215" s="226"/>
      <c r="I215" s="62">
        <f t="shared" si="59"/>
        <v>0</v>
      </c>
      <c r="J215" s="233"/>
      <c r="K215" s="246"/>
      <c r="L215" s="67">
        <f t="shared" si="61"/>
        <v>27543</v>
      </c>
    </row>
    <row r="216" spans="1:12" x14ac:dyDescent="0.3">
      <c r="A216" s="32">
        <v>46077</v>
      </c>
      <c r="B216" s="222" t="s">
        <v>23</v>
      </c>
      <c r="C216" s="245"/>
      <c r="D216" s="237"/>
      <c r="E216" s="231">
        <v>100</v>
      </c>
      <c r="F216" s="54">
        <f t="shared" si="60"/>
        <v>2139</v>
      </c>
      <c r="G216" s="240"/>
      <c r="H216" s="226"/>
      <c r="I216" s="62">
        <f t="shared" si="59"/>
        <v>0</v>
      </c>
      <c r="J216" s="271">
        <v>225000</v>
      </c>
      <c r="K216" s="246"/>
      <c r="L216" s="67">
        <f t="shared" si="61"/>
        <v>252543</v>
      </c>
    </row>
    <row r="217" spans="1:12" x14ac:dyDescent="0.3">
      <c r="A217" s="32">
        <v>46077</v>
      </c>
      <c r="B217" s="230" t="s">
        <v>380</v>
      </c>
      <c r="C217" s="245"/>
      <c r="D217" s="237"/>
      <c r="E217" s="231"/>
      <c r="F217" s="54">
        <f t="shared" si="60"/>
        <v>2139</v>
      </c>
      <c r="G217" s="240"/>
      <c r="H217" s="226"/>
      <c r="I217" s="62">
        <f t="shared" si="59"/>
        <v>0</v>
      </c>
      <c r="J217" s="264"/>
      <c r="K217" s="246">
        <v>193500</v>
      </c>
      <c r="L217" s="67">
        <f t="shared" si="61"/>
        <v>59043</v>
      </c>
    </row>
    <row r="218" spans="1:12" x14ac:dyDescent="0.3">
      <c r="A218" s="32">
        <v>46077</v>
      </c>
      <c r="B218" s="232" t="s">
        <v>381</v>
      </c>
      <c r="C218" s="245"/>
      <c r="D218" s="237"/>
      <c r="E218" s="231"/>
      <c r="F218" s="54">
        <f t="shared" si="60"/>
        <v>2139</v>
      </c>
      <c r="G218" s="240"/>
      <c r="H218" s="226"/>
      <c r="I218" s="62">
        <f t="shared" si="59"/>
        <v>0</v>
      </c>
      <c r="J218" s="248">
        <v>473500</v>
      </c>
      <c r="K218" s="246"/>
      <c r="L218" s="67">
        <f t="shared" si="61"/>
        <v>532543</v>
      </c>
    </row>
    <row r="219" spans="1:12" x14ac:dyDescent="0.3">
      <c r="A219" s="32">
        <v>46077</v>
      </c>
      <c r="B219" s="230" t="s">
        <v>382</v>
      </c>
      <c r="C219" s="245"/>
      <c r="D219" s="237"/>
      <c r="E219" s="231">
        <v>180</v>
      </c>
      <c r="F219" s="54">
        <f t="shared" si="60"/>
        <v>1959</v>
      </c>
      <c r="G219" s="240"/>
      <c r="H219" s="226"/>
      <c r="I219" s="62">
        <f t="shared" si="59"/>
        <v>0</v>
      </c>
      <c r="J219" s="130"/>
      <c r="K219" s="246"/>
      <c r="L219" s="67">
        <f t="shared" si="61"/>
        <v>532543</v>
      </c>
    </row>
    <row r="220" spans="1:12" x14ac:dyDescent="0.3">
      <c r="A220" s="32"/>
      <c r="B220" s="185"/>
      <c r="C220" s="189"/>
      <c r="D220" s="187"/>
      <c r="E220" s="184"/>
      <c r="F220" s="107">
        <f t="shared" si="56"/>
        <v>1959</v>
      </c>
      <c r="G220" s="188"/>
      <c r="H220" s="183"/>
      <c r="I220" s="255">
        <f t="shared" si="57"/>
        <v>0</v>
      </c>
      <c r="J220" s="186"/>
      <c r="K220" s="190"/>
      <c r="L220" s="258">
        <f t="shared" si="58"/>
        <v>532543</v>
      </c>
    </row>
    <row r="221" spans="1:12" x14ac:dyDescent="0.3">
      <c r="A221" s="32">
        <v>46078</v>
      </c>
      <c r="B221" s="230" t="s">
        <v>36</v>
      </c>
      <c r="C221" s="245"/>
      <c r="D221" s="237"/>
      <c r="E221" s="231">
        <v>50</v>
      </c>
      <c r="F221" s="54">
        <f>+F220+C221+D221-E221</f>
        <v>1909</v>
      </c>
      <c r="G221" s="240"/>
      <c r="H221" s="226">
        <v>0</v>
      </c>
      <c r="I221" s="62">
        <f t="shared" ref="I221:I234" si="62">+I220+G221-H221</f>
        <v>0</v>
      </c>
      <c r="J221" s="247"/>
      <c r="K221" s="246"/>
      <c r="L221" s="67">
        <f>+L220+J221-K221</f>
        <v>532543</v>
      </c>
    </row>
    <row r="222" spans="1:12" x14ac:dyDescent="0.3">
      <c r="A222" s="32">
        <v>46078</v>
      </c>
      <c r="B222" s="230" t="s">
        <v>70</v>
      </c>
      <c r="C222" s="245"/>
      <c r="D222" s="236"/>
      <c r="E222" s="231">
        <v>50</v>
      </c>
      <c r="F222" s="54">
        <f t="shared" ref="F222:F234" si="63">+F221+C222+D222-E222</f>
        <v>1859</v>
      </c>
      <c r="G222" s="241"/>
      <c r="H222" s="226"/>
      <c r="I222" s="62">
        <f t="shared" si="62"/>
        <v>0</v>
      </c>
      <c r="J222" s="229"/>
      <c r="K222" s="246"/>
      <c r="L222" s="67">
        <f t="shared" ref="L222:L234" si="64">+L221+J222-K222</f>
        <v>532543</v>
      </c>
    </row>
    <row r="223" spans="1:12" x14ac:dyDescent="0.3">
      <c r="A223" s="32">
        <v>46078</v>
      </c>
      <c r="B223" s="230" t="s">
        <v>28</v>
      </c>
      <c r="C223" s="245"/>
      <c r="D223" s="237"/>
      <c r="E223" s="231">
        <v>50</v>
      </c>
      <c r="F223" s="54">
        <f t="shared" si="63"/>
        <v>1809</v>
      </c>
      <c r="G223" s="241"/>
      <c r="H223" s="226"/>
      <c r="I223" s="62">
        <f t="shared" si="62"/>
        <v>0</v>
      </c>
      <c r="J223" s="130"/>
      <c r="K223" s="246"/>
      <c r="L223" s="67">
        <f t="shared" si="64"/>
        <v>532543</v>
      </c>
    </row>
    <row r="224" spans="1:12" x14ac:dyDescent="0.3">
      <c r="A224" s="32">
        <v>46078</v>
      </c>
      <c r="B224" s="230" t="s">
        <v>383</v>
      </c>
      <c r="C224" s="245"/>
      <c r="D224" s="237"/>
      <c r="E224" s="231"/>
      <c r="F224" s="54">
        <f t="shared" si="63"/>
        <v>1809</v>
      </c>
      <c r="G224" s="241"/>
      <c r="H224" s="280"/>
      <c r="I224" s="62">
        <f t="shared" si="62"/>
        <v>0</v>
      </c>
      <c r="J224" s="37"/>
      <c r="K224" s="246">
        <v>10000</v>
      </c>
      <c r="L224" s="67">
        <f t="shared" si="64"/>
        <v>522543</v>
      </c>
    </row>
    <row r="225" spans="1:12" x14ac:dyDescent="0.3">
      <c r="A225" s="32">
        <v>46078</v>
      </c>
      <c r="B225" s="230" t="s">
        <v>48</v>
      </c>
      <c r="C225" s="245"/>
      <c r="D225" s="237"/>
      <c r="E225" s="231">
        <v>70</v>
      </c>
      <c r="F225" s="54">
        <f t="shared" si="63"/>
        <v>1739</v>
      </c>
      <c r="G225" s="240"/>
      <c r="H225" s="226"/>
      <c r="I225" s="62">
        <f t="shared" si="62"/>
        <v>0</v>
      </c>
      <c r="J225" s="229"/>
      <c r="K225" s="246"/>
      <c r="L225" s="67">
        <f t="shared" si="64"/>
        <v>522543</v>
      </c>
    </row>
    <row r="226" spans="1:12" x14ac:dyDescent="0.3">
      <c r="A226" s="32">
        <v>46078</v>
      </c>
      <c r="B226" s="230" t="s">
        <v>384</v>
      </c>
      <c r="C226" s="245"/>
      <c r="D226" s="237"/>
      <c r="E226" s="231">
        <v>800</v>
      </c>
      <c r="F226" s="54">
        <f t="shared" si="63"/>
        <v>939</v>
      </c>
      <c r="G226" s="240"/>
      <c r="H226" s="226"/>
      <c r="I226" s="62">
        <f t="shared" si="62"/>
        <v>0</v>
      </c>
      <c r="J226" s="264"/>
      <c r="K226" s="246"/>
      <c r="L226" s="67">
        <f t="shared" si="64"/>
        <v>522543</v>
      </c>
    </row>
    <row r="227" spans="1:12" x14ac:dyDescent="0.3">
      <c r="A227" s="32">
        <v>46078</v>
      </c>
      <c r="B227" s="230" t="s">
        <v>385</v>
      </c>
      <c r="C227" s="245"/>
      <c r="D227" s="237"/>
      <c r="E227" s="231">
        <v>20</v>
      </c>
      <c r="F227" s="54">
        <f t="shared" si="63"/>
        <v>919</v>
      </c>
      <c r="G227" s="240"/>
      <c r="H227" s="228"/>
      <c r="I227" s="62">
        <f t="shared" si="62"/>
        <v>0</v>
      </c>
      <c r="J227" s="266"/>
      <c r="K227" s="246"/>
      <c r="L227" s="67">
        <f t="shared" si="64"/>
        <v>522543</v>
      </c>
    </row>
    <row r="228" spans="1:12" x14ac:dyDescent="0.3">
      <c r="A228" s="32">
        <v>46078</v>
      </c>
      <c r="B228" s="230" t="s">
        <v>386</v>
      </c>
      <c r="C228" s="245"/>
      <c r="D228" s="237"/>
      <c r="E228" s="231">
        <v>135</v>
      </c>
      <c r="F228" s="54">
        <f t="shared" si="63"/>
        <v>784</v>
      </c>
      <c r="G228" s="241"/>
      <c r="H228" s="226"/>
      <c r="I228" s="62">
        <f t="shared" si="62"/>
        <v>0</v>
      </c>
      <c r="J228" s="233"/>
      <c r="K228" s="246"/>
      <c r="L228" s="67">
        <f t="shared" si="64"/>
        <v>522543</v>
      </c>
    </row>
    <row r="229" spans="1:12" x14ac:dyDescent="0.3">
      <c r="A229" s="32">
        <v>46078</v>
      </c>
      <c r="B229" s="222" t="s">
        <v>23</v>
      </c>
      <c r="C229" s="245"/>
      <c r="D229" s="237"/>
      <c r="E229" s="231">
        <v>100</v>
      </c>
      <c r="F229" s="54">
        <f t="shared" si="63"/>
        <v>684</v>
      </c>
      <c r="G229" s="240"/>
      <c r="H229" s="226"/>
      <c r="I229" s="62">
        <f t="shared" si="62"/>
        <v>0</v>
      </c>
      <c r="J229" s="271">
        <v>225000</v>
      </c>
      <c r="K229" s="246"/>
      <c r="L229" s="67">
        <f t="shared" si="64"/>
        <v>747543</v>
      </c>
    </row>
    <row r="230" spans="1:12" s="225" customFormat="1" x14ac:dyDescent="0.3">
      <c r="A230" s="32">
        <v>46078</v>
      </c>
      <c r="B230" s="230" t="s">
        <v>387</v>
      </c>
      <c r="C230" s="245"/>
      <c r="D230" s="237"/>
      <c r="E230" s="231"/>
      <c r="F230" s="54">
        <f t="shared" si="63"/>
        <v>684</v>
      </c>
      <c r="G230" s="240"/>
      <c r="H230" s="226"/>
      <c r="I230" s="62">
        <f t="shared" si="62"/>
        <v>0</v>
      </c>
      <c r="J230" s="264"/>
      <c r="K230" s="246">
        <v>695600</v>
      </c>
      <c r="L230" s="67">
        <f t="shared" si="64"/>
        <v>51943</v>
      </c>
    </row>
    <row r="231" spans="1:12" x14ac:dyDescent="0.3">
      <c r="A231" s="32">
        <v>46078</v>
      </c>
      <c r="B231" s="232" t="s">
        <v>388</v>
      </c>
      <c r="C231" s="244">
        <v>210</v>
      </c>
      <c r="D231" s="237"/>
      <c r="E231" s="231"/>
      <c r="F231" s="54">
        <f t="shared" si="63"/>
        <v>894</v>
      </c>
      <c r="G231" s="240"/>
      <c r="H231" s="226"/>
      <c r="I231" s="62">
        <f t="shared" si="62"/>
        <v>0</v>
      </c>
      <c r="J231" s="248">
        <v>20500</v>
      </c>
      <c r="K231" s="246"/>
      <c r="L231" s="67">
        <f t="shared" si="64"/>
        <v>72443</v>
      </c>
    </row>
    <row r="232" spans="1:12" x14ac:dyDescent="0.3">
      <c r="A232" s="32">
        <v>46078</v>
      </c>
      <c r="B232" s="230" t="s">
        <v>389</v>
      </c>
      <c r="C232" s="245"/>
      <c r="D232" s="237"/>
      <c r="E232" s="231"/>
      <c r="F232" s="54">
        <f t="shared" si="63"/>
        <v>894</v>
      </c>
      <c r="G232" s="240"/>
      <c r="H232" s="226"/>
      <c r="I232" s="62">
        <f t="shared" si="62"/>
        <v>0</v>
      </c>
      <c r="J232" s="130"/>
      <c r="K232" s="246">
        <v>10000</v>
      </c>
      <c r="L232" s="67">
        <f t="shared" si="64"/>
        <v>62443</v>
      </c>
    </row>
    <row r="233" spans="1:12" x14ac:dyDescent="0.3">
      <c r="A233" s="32">
        <v>46078</v>
      </c>
      <c r="B233" s="230" t="s">
        <v>390</v>
      </c>
      <c r="C233" s="244"/>
      <c r="D233" s="236"/>
      <c r="E233" s="231">
        <v>47</v>
      </c>
      <c r="F233" s="54">
        <f t="shared" si="63"/>
        <v>847</v>
      </c>
      <c r="G233" s="241"/>
      <c r="H233" s="226"/>
      <c r="I233" s="62">
        <f t="shared" si="62"/>
        <v>0</v>
      </c>
      <c r="J233" s="271"/>
      <c r="K233" s="246">
        <v>18500</v>
      </c>
      <c r="L233" s="67">
        <f t="shared" si="64"/>
        <v>43943</v>
      </c>
    </row>
    <row r="234" spans="1:12" x14ac:dyDescent="0.3">
      <c r="A234" s="32">
        <v>46078</v>
      </c>
      <c r="B234" s="230" t="s">
        <v>58</v>
      </c>
      <c r="C234" s="244"/>
      <c r="D234" s="236"/>
      <c r="E234" s="231">
        <v>50</v>
      </c>
      <c r="F234" s="54">
        <f t="shared" si="63"/>
        <v>797</v>
      </c>
      <c r="G234" s="241"/>
      <c r="H234" s="226"/>
      <c r="I234" s="62">
        <f t="shared" si="62"/>
        <v>0</v>
      </c>
      <c r="J234" s="248"/>
      <c r="K234" s="246"/>
      <c r="L234" s="67">
        <f t="shared" si="64"/>
        <v>43943</v>
      </c>
    </row>
    <row r="235" spans="1:12" x14ac:dyDescent="0.3">
      <c r="A235" s="32"/>
      <c r="B235" s="193"/>
      <c r="C235" s="196"/>
      <c r="D235" s="194"/>
      <c r="E235" s="192"/>
      <c r="F235" s="107">
        <f t="shared" si="56"/>
        <v>797</v>
      </c>
      <c r="G235" s="195"/>
      <c r="H235" s="191"/>
      <c r="I235" s="255">
        <f t="shared" si="57"/>
        <v>0</v>
      </c>
      <c r="J235" s="198"/>
      <c r="K235" s="197"/>
      <c r="L235" s="258">
        <f t="shared" si="58"/>
        <v>43943</v>
      </c>
    </row>
    <row r="236" spans="1:12" x14ac:dyDescent="0.3">
      <c r="A236" s="32">
        <v>46079</v>
      </c>
      <c r="B236" s="234" t="s">
        <v>33</v>
      </c>
      <c r="C236" s="245"/>
      <c r="D236" s="236">
        <v>9900</v>
      </c>
      <c r="E236" s="231"/>
      <c r="F236" s="54">
        <f>+F235+C236+D236-E236</f>
        <v>10697</v>
      </c>
      <c r="G236" s="240"/>
      <c r="H236" s="226">
        <v>0</v>
      </c>
      <c r="I236" s="62">
        <f t="shared" ref="I236:I242" si="65">+I235+G236-H236</f>
        <v>0</v>
      </c>
      <c r="J236" s="247"/>
      <c r="K236" s="246"/>
      <c r="L236" s="67">
        <f>+L235+J236-K236</f>
        <v>43943</v>
      </c>
    </row>
    <row r="237" spans="1:12" x14ac:dyDescent="0.3">
      <c r="A237" s="32">
        <v>46079</v>
      </c>
      <c r="B237" s="234" t="s">
        <v>16</v>
      </c>
      <c r="C237" s="245"/>
      <c r="D237" s="236">
        <v>9900</v>
      </c>
      <c r="E237" s="231"/>
      <c r="F237" s="54">
        <f t="shared" ref="F237:F242" si="66">+F236+C237+D237-E237</f>
        <v>20597</v>
      </c>
      <c r="G237" s="241"/>
      <c r="H237" s="226"/>
      <c r="I237" s="62">
        <f t="shared" si="65"/>
        <v>0</v>
      </c>
      <c r="J237" s="229"/>
      <c r="K237" s="246"/>
      <c r="L237" s="67">
        <f t="shared" ref="L237:L242" si="67">+L236+J237-K237</f>
        <v>43943</v>
      </c>
    </row>
    <row r="238" spans="1:12" x14ac:dyDescent="0.3">
      <c r="A238" s="32">
        <v>46079</v>
      </c>
      <c r="B238" s="230" t="s">
        <v>391</v>
      </c>
      <c r="C238" s="245"/>
      <c r="D238" s="237"/>
      <c r="E238" s="231">
        <v>150</v>
      </c>
      <c r="F238" s="54">
        <f t="shared" si="66"/>
        <v>20447</v>
      </c>
      <c r="G238" s="241"/>
      <c r="H238" s="226"/>
      <c r="I238" s="62">
        <f t="shared" si="65"/>
        <v>0</v>
      </c>
      <c r="J238" s="130"/>
      <c r="K238" s="246"/>
      <c r="L238" s="67">
        <f t="shared" si="67"/>
        <v>43943</v>
      </c>
    </row>
    <row r="239" spans="1:12" x14ac:dyDescent="0.3">
      <c r="A239" s="32">
        <v>46079</v>
      </c>
      <c r="B239" s="230" t="s">
        <v>392</v>
      </c>
      <c r="C239" s="245"/>
      <c r="D239" s="237"/>
      <c r="E239" s="231"/>
      <c r="F239" s="54">
        <f t="shared" si="66"/>
        <v>20447</v>
      </c>
      <c r="G239" s="241"/>
      <c r="H239" s="280"/>
      <c r="I239" s="62">
        <f t="shared" si="65"/>
        <v>0</v>
      </c>
      <c r="J239" s="37"/>
      <c r="K239" s="246"/>
      <c r="L239" s="67">
        <f t="shared" si="67"/>
        <v>43943</v>
      </c>
    </row>
    <row r="240" spans="1:12" x14ac:dyDescent="0.3">
      <c r="A240" s="32">
        <v>46079</v>
      </c>
      <c r="B240" s="230" t="s">
        <v>393</v>
      </c>
      <c r="C240" s="245"/>
      <c r="D240" s="237"/>
      <c r="E240" s="231">
        <v>150</v>
      </c>
      <c r="F240" s="54">
        <f t="shared" si="66"/>
        <v>20297</v>
      </c>
      <c r="G240" s="240"/>
      <c r="H240" s="226"/>
      <c r="I240" s="62">
        <f t="shared" si="65"/>
        <v>0</v>
      </c>
      <c r="J240" s="229"/>
      <c r="K240" s="246"/>
      <c r="L240" s="67">
        <f t="shared" si="67"/>
        <v>43943</v>
      </c>
    </row>
    <row r="241" spans="1:12" x14ac:dyDescent="0.3">
      <c r="A241" s="32">
        <v>46079</v>
      </c>
      <c r="B241" s="222" t="s">
        <v>23</v>
      </c>
      <c r="C241" s="245"/>
      <c r="D241" s="237"/>
      <c r="E241" s="231">
        <v>50</v>
      </c>
      <c r="F241" s="54">
        <f t="shared" si="66"/>
        <v>20247</v>
      </c>
      <c r="G241" s="240"/>
      <c r="H241" s="226"/>
      <c r="I241" s="62">
        <f t="shared" si="65"/>
        <v>0</v>
      </c>
      <c r="J241" s="264">
        <v>112500</v>
      </c>
      <c r="K241" s="246"/>
      <c r="L241" s="67">
        <f t="shared" si="67"/>
        <v>156443</v>
      </c>
    </row>
    <row r="242" spans="1:12" x14ac:dyDescent="0.3">
      <c r="A242" s="32">
        <v>46079</v>
      </c>
      <c r="B242" s="230" t="s">
        <v>394</v>
      </c>
      <c r="C242" s="245"/>
      <c r="D242" s="237"/>
      <c r="E242" s="231"/>
      <c r="F242" s="54">
        <f t="shared" si="66"/>
        <v>20247</v>
      </c>
      <c r="G242" s="240"/>
      <c r="H242" s="228"/>
      <c r="I242" s="62">
        <f t="shared" si="65"/>
        <v>0</v>
      </c>
      <c r="J242" s="266"/>
      <c r="K242" s="246">
        <v>120000</v>
      </c>
      <c r="L242" s="67">
        <f t="shared" si="67"/>
        <v>36443</v>
      </c>
    </row>
    <row r="243" spans="1:12" x14ac:dyDescent="0.3">
      <c r="A243" s="32"/>
      <c r="B243" s="201"/>
      <c r="C243" s="207"/>
      <c r="D243" s="203"/>
      <c r="E243" s="202"/>
      <c r="F243" s="107">
        <f t="shared" si="56"/>
        <v>20247</v>
      </c>
      <c r="G243" s="204"/>
      <c r="H243" s="199"/>
      <c r="I243" s="255">
        <f t="shared" si="57"/>
        <v>0</v>
      </c>
      <c r="J243" s="200"/>
      <c r="K243" s="208"/>
      <c r="L243" s="258">
        <f t="shared" si="58"/>
        <v>36443</v>
      </c>
    </row>
    <row r="244" spans="1:12" x14ac:dyDescent="0.3">
      <c r="A244" s="32">
        <v>46080</v>
      </c>
      <c r="B244" s="234" t="s">
        <v>33</v>
      </c>
      <c r="C244" s="245"/>
      <c r="D244" s="236">
        <v>4000</v>
      </c>
      <c r="E244" s="231"/>
      <c r="F244" s="54">
        <f>+F243+C244+D244-E244</f>
        <v>24247</v>
      </c>
      <c r="G244" s="240"/>
      <c r="H244" s="226">
        <v>0</v>
      </c>
      <c r="I244" s="62">
        <f t="shared" ref="I244:I251" si="68">+I243+G244-H244</f>
        <v>0</v>
      </c>
      <c r="J244" s="247"/>
      <c r="K244" s="246"/>
      <c r="L244" s="67">
        <f>+L243+J244-K244</f>
        <v>36443</v>
      </c>
    </row>
    <row r="245" spans="1:12" x14ac:dyDescent="0.3">
      <c r="A245" s="32">
        <v>46080</v>
      </c>
      <c r="B245" s="234" t="s">
        <v>16</v>
      </c>
      <c r="C245" s="245"/>
      <c r="D245" s="236">
        <v>9900</v>
      </c>
      <c r="E245" s="231"/>
      <c r="F245" s="54">
        <f t="shared" ref="F245:F251" si="69">+F244+C245+D245-E245</f>
        <v>34147</v>
      </c>
      <c r="G245" s="241"/>
      <c r="H245" s="226"/>
      <c r="I245" s="62">
        <f t="shared" si="68"/>
        <v>0</v>
      </c>
      <c r="J245" s="229"/>
      <c r="K245" s="246"/>
      <c r="L245" s="67">
        <f t="shared" ref="L245:L251" si="70">+L244+J245-K245</f>
        <v>36443</v>
      </c>
    </row>
    <row r="246" spans="1:12" x14ac:dyDescent="0.3">
      <c r="A246" s="32">
        <v>46080</v>
      </c>
      <c r="B246" s="230" t="s">
        <v>395</v>
      </c>
      <c r="C246" s="245"/>
      <c r="D246" s="237"/>
      <c r="E246" s="231">
        <v>3800</v>
      </c>
      <c r="F246" s="54">
        <f t="shared" si="69"/>
        <v>30347</v>
      </c>
      <c r="G246" s="241"/>
      <c r="H246" s="226"/>
      <c r="I246" s="62">
        <f t="shared" si="68"/>
        <v>0</v>
      </c>
      <c r="J246" s="130"/>
      <c r="K246" s="246"/>
      <c r="L246" s="67">
        <f t="shared" si="70"/>
        <v>36443</v>
      </c>
    </row>
    <row r="247" spans="1:12" x14ac:dyDescent="0.3">
      <c r="A247" s="32">
        <v>46080</v>
      </c>
      <c r="B247" s="230" t="s">
        <v>55</v>
      </c>
      <c r="C247" s="245"/>
      <c r="D247" s="237"/>
      <c r="E247" s="231"/>
      <c r="F247" s="54">
        <f t="shared" si="69"/>
        <v>30347</v>
      </c>
      <c r="G247" s="241"/>
      <c r="H247" s="280"/>
      <c r="I247" s="62">
        <f t="shared" si="68"/>
        <v>0</v>
      </c>
      <c r="J247" s="37"/>
      <c r="K247" s="246">
        <v>10000</v>
      </c>
      <c r="L247" s="67">
        <f t="shared" si="70"/>
        <v>26443</v>
      </c>
    </row>
    <row r="248" spans="1:12" x14ac:dyDescent="0.3">
      <c r="A248" s="32">
        <v>46080</v>
      </c>
      <c r="B248" s="230" t="s">
        <v>52</v>
      </c>
      <c r="C248" s="245"/>
      <c r="D248" s="237"/>
      <c r="E248" s="231"/>
      <c r="F248" s="54">
        <f t="shared" si="69"/>
        <v>30347</v>
      </c>
      <c r="G248" s="240"/>
      <c r="H248" s="226"/>
      <c r="I248" s="62">
        <f t="shared" si="68"/>
        <v>0</v>
      </c>
      <c r="J248" s="229"/>
      <c r="K248" s="246">
        <v>10000</v>
      </c>
      <c r="L248" s="67">
        <f t="shared" si="70"/>
        <v>16443</v>
      </c>
    </row>
    <row r="249" spans="1:12" x14ac:dyDescent="0.3">
      <c r="A249" s="32">
        <v>46080</v>
      </c>
      <c r="B249" s="230" t="s">
        <v>396</v>
      </c>
      <c r="C249" s="245"/>
      <c r="D249" s="237"/>
      <c r="E249" s="231">
        <v>70</v>
      </c>
      <c r="F249" s="54">
        <f t="shared" si="69"/>
        <v>30277</v>
      </c>
      <c r="G249" s="240"/>
      <c r="H249" s="226"/>
      <c r="I249" s="62">
        <f t="shared" si="68"/>
        <v>0</v>
      </c>
      <c r="J249" s="264"/>
      <c r="K249" s="246"/>
      <c r="L249" s="67">
        <f t="shared" si="70"/>
        <v>16443</v>
      </c>
    </row>
    <row r="250" spans="1:12" x14ac:dyDescent="0.3">
      <c r="A250" s="32">
        <v>46080</v>
      </c>
      <c r="B250" s="230" t="s">
        <v>397</v>
      </c>
      <c r="C250" s="245"/>
      <c r="D250" s="237"/>
      <c r="E250" s="231">
        <v>80</v>
      </c>
      <c r="F250" s="54">
        <f t="shared" si="69"/>
        <v>30197</v>
      </c>
      <c r="G250" s="240"/>
      <c r="H250" s="228"/>
      <c r="I250" s="62">
        <f t="shared" si="68"/>
        <v>0</v>
      </c>
      <c r="J250" s="266"/>
      <c r="K250" s="246"/>
      <c r="L250" s="67">
        <f t="shared" si="70"/>
        <v>16443</v>
      </c>
    </row>
    <row r="251" spans="1:12" x14ac:dyDescent="0.3">
      <c r="A251" s="32">
        <v>46080</v>
      </c>
      <c r="B251" s="222" t="s">
        <v>23</v>
      </c>
      <c r="C251" s="245"/>
      <c r="D251" s="237"/>
      <c r="E251" s="231">
        <v>29700</v>
      </c>
      <c r="F251" s="54">
        <f t="shared" si="69"/>
        <v>497</v>
      </c>
      <c r="G251" s="241"/>
      <c r="H251" s="226"/>
      <c r="I251" s="62">
        <f t="shared" si="68"/>
        <v>0</v>
      </c>
      <c r="J251" s="233">
        <v>67419000</v>
      </c>
      <c r="K251" s="246"/>
      <c r="L251" s="67">
        <f t="shared" si="70"/>
        <v>67435443</v>
      </c>
    </row>
    <row r="252" spans="1:12" x14ac:dyDescent="0.3">
      <c r="A252" s="32"/>
      <c r="B252" s="201"/>
      <c r="C252" s="206"/>
      <c r="D252" s="203"/>
      <c r="E252" s="202"/>
      <c r="F252" s="107">
        <f t="shared" si="56"/>
        <v>497</v>
      </c>
      <c r="G252" s="205"/>
      <c r="H252" s="199"/>
      <c r="I252" s="255">
        <f t="shared" si="57"/>
        <v>0</v>
      </c>
      <c r="J252" s="209"/>
      <c r="K252" s="208"/>
      <c r="L252" s="258">
        <f t="shared" si="58"/>
        <v>67435443</v>
      </c>
    </row>
    <row r="253" spans="1:12" x14ac:dyDescent="0.3">
      <c r="A253" s="32">
        <v>46081</v>
      </c>
      <c r="B253" s="234" t="s">
        <v>33</v>
      </c>
      <c r="C253" s="245"/>
      <c r="D253" s="236">
        <v>3000</v>
      </c>
      <c r="E253" s="231"/>
      <c r="F253" s="54">
        <f>+F252+C253+D253-E253</f>
        <v>3497</v>
      </c>
      <c r="G253" s="240"/>
      <c r="H253" s="226">
        <v>0</v>
      </c>
      <c r="I253" s="62">
        <f t="shared" ref="I253:I263" si="71">+I252+G253-H253</f>
        <v>0</v>
      </c>
      <c r="J253" s="247"/>
      <c r="K253" s="246"/>
      <c r="L253" s="67">
        <f>+L252+J253-K253</f>
        <v>67435443</v>
      </c>
    </row>
    <row r="254" spans="1:12" x14ac:dyDescent="0.3">
      <c r="A254" s="32">
        <v>46081</v>
      </c>
      <c r="B254" s="230" t="s">
        <v>398</v>
      </c>
      <c r="C254" s="245"/>
      <c r="D254" s="236"/>
      <c r="E254" s="231">
        <v>840</v>
      </c>
      <c r="F254" s="54">
        <f t="shared" ref="F254:F263" si="72">+F253+C254+D254-E254</f>
        <v>2657</v>
      </c>
      <c r="G254" s="241"/>
      <c r="H254" s="226"/>
      <c r="I254" s="62">
        <f t="shared" si="71"/>
        <v>0</v>
      </c>
      <c r="J254" s="229"/>
      <c r="K254" s="246"/>
      <c r="L254" s="67">
        <f t="shared" ref="L254:L263" si="73">+L253+J254-K254</f>
        <v>67435443</v>
      </c>
    </row>
    <row r="255" spans="1:12" x14ac:dyDescent="0.3">
      <c r="A255" s="32">
        <v>46081</v>
      </c>
      <c r="B255" s="222" t="s">
        <v>23</v>
      </c>
      <c r="C255" s="245"/>
      <c r="D255" s="237"/>
      <c r="E255" s="231">
        <v>1600</v>
      </c>
      <c r="F255" s="54">
        <f t="shared" si="72"/>
        <v>1057</v>
      </c>
      <c r="G255" s="241"/>
      <c r="H255" s="226"/>
      <c r="I255" s="62">
        <f t="shared" si="71"/>
        <v>0</v>
      </c>
      <c r="J255" s="130">
        <v>3632000</v>
      </c>
      <c r="K255" s="246"/>
      <c r="L255" s="67">
        <f t="shared" si="73"/>
        <v>71067443</v>
      </c>
    </row>
    <row r="256" spans="1:12" x14ac:dyDescent="0.3">
      <c r="A256" s="32">
        <v>46081</v>
      </c>
      <c r="B256" s="230" t="s">
        <v>399</v>
      </c>
      <c r="C256" s="245"/>
      <c r="D256" s="237"/>
      <c r="E256" s="231"/>
      <c r="F256" s="54">
        <f t="shared" si="72"/>
        <v>1057</v>
      </c>
      <c r="G256" s="241"/>
      <c r="H256" s="280"/>
      <c r="I256" s="62">
        <f t="shared" si="71"/>
        <v>0</v>
      </c>
      <c r="J256" s="37"/>
      <c r="K256" s="246">
        <v>24041722</v>
      </c>
      <c r="L256" s="67">
        <f t="shared" si="73"/>
        <v>47025721</v>
      </c>
    </row>
    <row r="257" spans="1:12" x14ac:dyDescent="0.3">
      <c r="A257" s="32">
        <v>46081</v>
      </c>
      <c r="B257" s="230" t="s">
        <v>400</v>
      </c>
      <c r="C257" s="245"/>
      <c r="D257" s="237"/>
      <c r="E257" s="231"/>
      <c r="F257" s="54">
        <f t="shared" si="72"/>
        <v>1057</v>
      </c>
      <c r="G257" s="240"/>
      <c r="H257" s="226"/>
      <c r="I257" s="62">
        <f t="shared" si="71"/>
        <v>0</v>
      </c>
      <c r="J257" s="229"/>
      <c r="K257" s="246">
        <v>23031841</v>
      </c>
      <c r="L257" s="67">
        <f t="shared" si="73"/>
        <v>23993880</v>
      </c>
    </row>
    <row r="258" spans="1:12" x14ac:dyDescent="0.3">
      <c r="A258" s="32">
        <v>46081</v>
      </c>
      <c r="B258" s="230" t="s">
        <v>401</v>
      </c>
      <c r="C258" s="245"/>
      <c r="D258" s="237"/>
      <c r="E258" s="231"/>
      <c r="F258" s="54">
        <f t="shared" si="72"/>
        <v>1057</v>
      </c>
      <c r="G258" s="240"/>
      <c r="H258" s="226"/>
      <c r="I258" s="62">
        <f t="shared" si="71"/>
        <v>0</v>
      </c>
      <c r="J258" s="264"/>
      <c r="K258" s="246">
        <v>23518410</v>
      </c>
      <c r="L258" s="67">
        <f t="shared" si="73"/>
        <v>475470</v>
      </c>
    </row>
    <row r="259" spans="1:12" x14ac:dyDescent="0.3">
      <c r="A259" s="32">
        <v>46081</v>
      </c>
      <c r="B259" s="230" t="s">
        <v>402</v>
      </c>
      <c r="C259" s="245"/>
      <c r="D259" s="237"/>
      <c r="E259" s="231"/>
      <c r="F259" s="54">
        <f t="shared" si="72"/>
        <v>1057</v>
      </c>
      <c r="G259" s="240"/>
      <c r="H259" s="228"/>
      <c r="I259" s="62">
        <f t="shared" si="71"/>
        <v>0</v>
      </c>
      <c r="J259" s="266"/>
      <c r="K259" s="246">
        <v>368323</v>
      </c>
      <c r="L259" s="67">
        <f t="shared" si="73"/>
        <v>107147</v>
      </c>
    </row>
    <row r="260" spans="1:12" x14ac:dyDescent="0.3">
      <c r="A260" s="32">
        <v>46081</v>
      </c>
      <c r="B260" s="230" t="s">
        <v>95</v>
      </c>
      <c r="C260" s="245"/>
      <c r="D260" s="237"/>
      <c r="E260" s="231">
        <v>100</v>
      </c>
      <c r="F260" s="54">
        <f t="shared" si="72"/>
        <v>957</v>
      </c>
      <c r="G260" s="241"/>
      <c r="H260" s="226"/>
      <c r="I260" s="62">
        <f t="shared" si="71"/>
        <v>0</v>
      </c>
      <c r="J260" s="233"/>
      <c r="K260" s="246"/>
      <c r="L260" s="67">
        <f t="shared" si="73"/>
        <v>107147</v>
      </c>
    </row>
    <row r="261" spans="1:12" x14ac:dyDescent="0.3">
      <c r="A261" s="32">
        <v>46081</v>
      </c>
      <c r="B261" s="230" t="s">
        <v>403</v>
      </c>
      <c r="C261" s="244"/>
      <c r="D261" s="236"/>
      <c r="E261" s="231">
        <v>420</v>
      </c>
      <c r="F261" s="54">
        <f t="shared" si="72"/>
        <v>537</v>
      </c>
      <c r="G261" s="240"/>
      <c r="H261" s="226"/>
      <c r="I261" s="62">
        <f t="shared" si="71"/>
        <v>0</v>
      </c>
      <c r="J261" s="271"/>
      <c r="K261" s="246"/>
      <c r="L261" s="67">
        <f t="shared" si="73"/>
        <v>107147</v>
      </c>
    </row>
    <row r="262" spans="1:12" x14ac:dyDescent="0.3">
      <c r="A262" s="32">
        <v>46081</v>
      </c>
      <c r="B262" s="230" t="s">
        <v>404</v>
      </c>
      <c r="C262" s="244"/>
      <c r="D262" s="236"/>
      <c r="E262" s="231">
        <v>450</v>
      </c>
      <c r="F262" s="54">
        <f t="shared" si="72"/>
        <v>87</v>
      </c>
      <c r="G262" s="240"/>
      <c r="H262" s="226"/>
      <c r="I262" s="62">
        <f t="shared" si="71"/>
        <v>0</v>
      </c>
      <c r="J262" s="264"/>
      <c r="K262" s="246"/>
      <c r="L262" s="67">
        <f t="shared" si="73"/>
        <v>107147</v>
      </c>
    </row>
    <row r="263" spans="1:12" x14ac:dyDescent="0.3">
      <c r="A263" s="32">
        <v>46081</v>
      </c>
      <c r="B263" s="230" t="s">
        <v>82</v>
      </c>
      <c r="C263" s="244"/>
      <c r="D263" s="237"/>
      <c r="E263" s="231">
        <v>40</v>
      </c>
      <c r="F263" s="54">
        <f t="shared" si="72"/>
        <v>47</v>
      </c>
      <c r="G263" s="240"/>
      <c r="H263" s="226"/>
      <c r="I263" s="62">
        <f t="shared" si="71"/>
        <v>0</v>
      </c>
      <c r="J263" s="248"/>
      <c r="K263" s="246"/>
      <c r="L263" s="67">
        <f t="shared" si="73"/>
        <v>107147</v>
      </c>
    </row>
    <row r="264" spans="1:12" x14ac:dyDescent="0.3">
      <c r="A264" s="32">
        <v>46081</v>
      </c>
      <c r="B264" s="213" t="s">
        <v>405</v>
      </c>
      <c r="C264" s="218"/>
      <c r="D264" s="216"/>
      <c r="E264" s="214"/>
      <c r="F264" s="107">
        <f t="shared" si="56"/>
        <v>47</v>
      </c>
      <c r="G264" s="217"/>
      <c r="H264" s="210"/>
      <c r="I264" s="255">
        <f t="shared" si="57"/>
        <v>0</v>
      </c>
      <c r="J264" s="212"/>
      <c r="K264" s="219">
        <v>20000</v>
      </c>
      <c r="L264" s="258">
        <f t="shared" ref="L264:L266" si="74">L263+J264-K264</f>
        <v>87147</v>
      </c>
    </row>
    <row r="265" spans="1:12" x14ac:dyDescent="0.3">
      <c r="A265" s="32"/>
      <c r="B265" s="288"/>
      <c r="C265" s="83"/>
      <c r="D265" s="73"/>
      <c r="E265" s="214"/>
      <c r="F265" s="107">
        <f t="shared" ref="F265:F266" si="75">F264+C265+D265-E265</f>
        <v>47</v>
      </c>
      <c r="G265" s="217"/>
      <c r="H265" s="211"/>
      <c r="I265" s="255">
        <f t="shared" ref="I265:I266" si="76">I264+G265-H265</f>
        <v>0</v>
      </c>
      <c r="J265" s="215"/>
      <c r="K265" s="219"/>
      <c r="L265" s="258">
        <f t="shared" si="74"/>
        <v>87147</v>
      </c>
    </row>
    <row r="266" spans="1:12" ht="15" thickBot="1" x14ac:dyDescent="0.35">
      <c r="A266" s="34"/>
      <c r="B266" s="27"/>
      <c r="C266" s="82"/>
      <c r="D266" s="59"/>
      <c r="E266" s="66"/>
      <c r="F266" s="107">
        <f t="shared" si="75"/>
        <v>47</v>
      </c>
      <c r="G266" s="59"/>
      <c r="H266" s="60"/>
      <c r="I266" s="255">
        <f t="shared" si="76"/>
        <v>0</v>
      </c>
      <c r="J266" s="72"/>
      <c r="K266" s="79"/>
      <c r="L266" s="258">
        <f t="shared" si="74"/>
        <v>87147</v>
      </c>
    </row>
    <row r="267" spans="1:12" ht="15" thickBot="1" x14ac:dyDescent="0.35">
      <c r="A267" s="31"/>
      <c r="B267" s="28" t="s">
        <v>21</v>
      </c>
      <c r="C267" s="76"/>
      <c r="D267" s="56"/>
      <c r="E267" s="57"/>
      <c r="F267" s="111">
        <f t="shared" ref="F267" si="77">F266+C267+D267-E267</f>
        <v>47</v>
      </c>
      <c r="G267" s="105"/>
      <c r="H267" s="58"/>
      <c r="I267" s="256">
        <f t="shared" ref="I267" si="78">I266+G267-H267</f>
        <v>0</v>
      </c>
      <c r="J267" s="63"/>
      <c r="K267" s="80"/>
      <c r="L267" s="259">
        <f>L266+J267-K267</f>
        <v>87147</v>
      </c>
    </row>
    <row r="268" spans="1:12" x14ac:dyDescent="0.3">
      <c r="A268" s="30"/>
      <c r="B268" s="29" t="s">
        <v>22</v>
      </c>
      <c r="C268" s="98"/>
      <c r="D268" s="99"/>
      <c r="E268" s="99"/>
      <c r="F268" s="252">
        <v>5080</v>
      </c>
    </row>
    <row r="272" spans="1:12" x14ac:dyDescent="0.3">
      <c r="B272" s="225"/>
    </row>
  </sheetData>
  <pageMargins left="0.51181102362204722" right="0.11811023622047245" top="0.55118110236220474" bottom="0.35433070866141736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2" sqref="B12"/>
    </sheetView>
  </sheetViews>
  <sheetFormatPr baseColWidth="10" defaultRowHeight="14.4" x14ac:dyDescent="0.3"/>
  <cols>
    <col min="1" max="1" width="11.5546875" style="2"/>
    <col min="2" max="2" width="50.5546875" bestFit="1" customWidth="1"/>
    <col min="8" max="8" width="12.21875" bestFit="1" customWidth="1"/>
    <col min="10" max="10" width="13.77734375" customWidth="1"/>
    <col min="11" max="11" width="13.33203125" customWidth="1"/>
    <col min="12" max="12" width="12.6640625" bestFit="1" customWidth="1"/>
  </cols>
  <sheetData>
    <row r="1" spans="1:12" ht="18" x14ac:dyDescent="0.35">
      <c r="A1" s="47" t="s">
        <v>0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2" thickBot="1" x14ac:dyDescent="0.35">
      <c r="A2" s="48" t="s">
        <v>47</v>
      </c>
      <c r="B2" s="5"/>
      <c r="C2" s="2"/>
      <c r="D2" s="2"/>
      <c r="E2" s="2"/>
      <c r="F2" s="2"/>
      <c r="G2" s="2"/>
      <c r="H2" s="2"/>
      <c r="I2" s="2"/>
      <c r="J2" s="2"/>
      <c r="K2" s="2"/>
      <c r="L2" s="104">
        <v>46023</v>
      </c>
    </row>
    <row r="3" spans="1:12" ht="16.2" thickBot="1" x14ac:dyDescent="0.35">
      <c r="A3" s="101"/>
      <c r="B3" s="1" t="s">
        <v>1</v>
      </c>
      <c r="C3" s="6"/>
      <c r="D3" s="9" t="s">
        <v>2</v>
      </c>
      <c r="E3" s="10"/>
      <c r="F3" s="8"/>
      <c r="G3" s="10"/>
      <c r="H3" s="7" t="s">
        <v>3</v>
      </c>
      <c r="I3" s="10"/>
      <c r="J3" s="35" t="s">
        <v>4</v>
      </c>
      <c r="K3" s="36"/>
      <c r="L3" s="11"/>
    </row>
    <row r="4" spans="1:12" ht="15" thickBot="1" x14ac:dyDescent="0.35">
      <c r="A4" s="103"/>
      <c r="B4" s="22"/>
      <c r="C4" s="12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 t="s">
        <v>10</v>
      </c>
      <c r="I4" s="18" t="s">
        <v>11</v>
      </c>
      <c r="J4" s="19" t="s">
        <v>12</v>
      </c>
      <c r="K4" s="20" t="s">
        <v>13</v>
      </c>
      <c r="L4" s="21" t="s">
        <v>14</v>
      </c>
    </row>
    <row r="5" spans="1:12" x14ac:dyDescent="0.3">
      <c r="A5" s="102"/>
      <c r="B5" s="273" t="s">
        <v>15</v>
      </c>
      <c r="C5" s="274"/>
      <c r="D5" s="275">
        <v>40</v>
      </c>
      <c r="E5" s="276"/>
      <c r="F5" s="54">
        <f>+D5</f>
        <v>40</v>
      </c>
      <c r="G5" s="277">
        <v>0</v>
      </c>
      <c r="H5" s="226"/>
      <c r="I5" s="62">
        <v>0</v>
      </c>
      <c r="J5" s="278">
        <v>148014</v>
      </c>
      <c r="K5" s="279"/>
      <c r="L5" s="67">
        <v>148014</v>
      </c>
    </row>
    <row r="6" spans="1:12" x14ac:dyDescent="0.3">
      <c r="A6" s="32">
        <v>46024</v>
      </c>
      <c r="B6" s="234" t="s">
        <v>33</v>
      </c>
      <c r="C6" s="244"/>
      <c r="D6" s="236">
        <v>4500</v>
      </c>
      <c r="E6" s="231"/>
      <c r="F6" s="54">
        <f>+F5+C6+D6-E6</f>
        <v>4540</v>
      </c>
      <c r="G6" s="240"/>
      <c r="H6" s="226">
        <v>0</v>
      </c>
      <c r="I6" s="62">
        <v>0</v>
      </c>
      <c r="J6" s="247"/>
      <c r="K6" s="246"/>
      <c r="L6" s="67">
        <v>148014</v>
      </c>
    </row>
    <row r="7" spans="1:12" x14ac:dyDescent="0.3">
      <c r="A7" s="32">
        <v>46024</v>
      </c>
      <c r="B7" s="230" t="s">
        <v>97</v>
      </c>
      <c r="C7" s="244"/>
      <c r="D7" s="236"/>
      <c r="E7" s="231">
        <v>420</v>
      </c>
      <c r="F7" s="54">
        <f t="shared" ref="F7:F23" si="0">+F6+C7+D7-E7</f>
        <v>4120</v>
      </c>
      <c r="G7" s="241"/>
      <c r="H7" s="226"/>
      <c r="I7" s="62">
        <v>0</v>
      </c>
      <c r="J7" s="229"/>
      <c r="K7" s="246"/>
      <c r="L7" s="67">
        <v>148014</v>
      </c>
    </row>
    <row r="8" spans="1:12" x14ac:dyDescent="0.3">
      <c r="A8" s="32">
        <v>46024</v>
      </c>
      <c r="B8" s="230" t="s">
        <v>98</v>
      </c>
      <c r="C8" s="244"/>
      <c r="D8" s="236"/>
      <c r="E8" s="231">
        <v>450</v>
      </c>
      <c r="F8" s="54">
        <f t="shared" si="0"/>
        <v>3670</v>
      </c>
      <c r="G8" s="240"/>
      <c r="H8" s="228"/>
      <c r="I8" s="62">
        <v>0</v>
      </c>
      <c r="J8" s="130"/>
      <c r="K8" s="246"/>
      <c r="L8" s="67">
        <v>148014</v>
      </c>
    </row>
    <row r="9" spans="1:12" x14ac:dyDescent="0.3">
      <c r="A9" s="32">
        <v>46024</v>
      </c>
      <c r="B9" s="230" t="s">
        <v>99</v>
      </c>
      <c r="C9" s="244"/>
      <c r="D9" s="236"/>
      <c r="E9" s="231">
        <v>2100</v>
      </c>
      <c r="F9" s="54">
        <f t="shared" si="0"/>
        <v>1570</v>
      </c>
      <c r="G9" s="240"/>
      <c r="H9" s="226"/>
      <c r="I9" s="62">
        <v>0</v>
      </c>
      <c r="J9" s="229"/>
      <c r="K9" s="246"/>
      <c r="L9" s="67">
        <v>148014</v>
      </c>
    </row>
    <row r="10" spans="1:12" x14ac:dyDescent="0.3">
      <c r="A10" s="32">
        <v>46024</v>
      </c>
      <c r="B10" s="230" t="s">
        <v>100</v>
      </c>
      <c r="C10" s="244"/>
      <c r="D10" s="236"/>
      <c r="E10" s="231">
        <v>900</v>
      </c>
      <c r="F10" s="54">
        <f t="shared" si="0"/>
        <v>670</v>
      </c>
      <c r="G10" s="240"/>
      <c r="H10" s="226"/>
      <c r="I10" s="62">
        <v>0</v>
      </c>
      <c r="J10" s="229"/>
      <c r="K10" s="246"/>
      <c r="L10" s="67">
        <v>148014</v>
      </c>
    </row>
    <row r="11" spans="1:12" x14ac:dyDescent="0.3">
      <c r="A11" s="32">
        <v>46024</v>
      </c>
      <c r="B11" s="230" t="s">
        <v>969</v>
      </c>
      <c r="C11" s="244"/>
      <c r="D11" s="236"/>
      <c r="E11" s="231">
        <v>600</v>
      </c>
      <c r="F11" s="54">
        <f t="shared" si="0"/>
        <v>70</v>
      </c>
      <c r="G11" s="240"/>
      <c r="H11" s="226"/>
      <c r="I11" s="62">
        <v>0</v>
      </c>
      <c r="J11" s="264"/>
      <c r="K11" s="246"/>
      <c r="L11" s="67">
        <v>148014</v>
      </c>
    </row>
    <row r="12" spans="1:12" x14ac:dyDescent="0.3">
      <c r="A12" s="32">
        <v>46024</v>
      </c>
      <c r="B12" s="230" t="s">
        <v>101</v>
      </c>
      <c r="C12" s="244"/>
      <c r="D12" s="236"/>
      <c r="E12" s="231">
        <v>150</v>
      </c>
      <c r="F12" s="54">
        <f t="shared" si="0"/>
        <v>-80</v>
      </c>
      <c r="G12" s="240"/>
      <c r="H12" s="228"/>
      <c r="I12" s="62">
        <v>0</v>
      </c>
      <c r="J12" s="264"/>
      <c r="K12" s="246">
        <v>10000</v>
      </c>
      <c r="L12" s="67">
        <v>138014</v>
      </c>
    </row>
    <row r="13" spans="1:12" x14ac:dyDescent="0.3">
      <c r="A13" s="32">
        <v>46024</v>
      </c>
      <c r="B13" s="234" t="s">
        <v>33</v>
      </c>
      <c r="C13" s="244"/>
      <c r="D13" s="236">
        <v>1500</v>
      </c>
      <c r="E13" s="231"/>
      <c r="F13" s="54">
        <f t="shared" si="0"/>
        <v>1420</v>
      </c>
      <c r="G13" s="241"/>
      <c r="H13" s="226"/>
      <c r="I13" s="62">
        <v>0</v>
      </c>
      <c r="J13" s="233"/>
      <c r="K13" s="246"/>
      <c r="L13" s="67">
        <v>138014</v>
      </c>
    </row>
    <row r="14" spans="1:12" x14ac:dyDescent="0.3">
      <c r="A14" s="32">
        <v>46024</v>
      </c>
      <c r="B14" s="222" t="s">
        <v>23</v>
      </c>
      <c r="C14" s="244"/>
      <c r="D14" s="236"/>
      <c r="E14" s="231">
        <v>850</v>
      </c>
      <c r="F14" s="54">
        <f t="shared" si="0"/>
        <v>570</v>
      </c>
      <c r="G14" s="240"/>
      <c r="H14" s="226"/>
      <c r="I14" s="62">
        <v>0</v>
      </c>
      <c r="J14" s="264">
        <v>1870000</v>
      </c>
      <c r="K14" s="246"/>
      <c r="L14" s="67">
        <v>2008014</v>
      </c>
    </row>
    <row r="15" spans="1:12" x14ac:dyDescent="0.3">
      <c r="A15" s="32">
        <v>46024</v>
      </c>
      <c r="B15" s="230" t="s">
        <v>102</v>
      </c>
      <c r="C15" s="244"/>
      <c r="D15" s="236"/>
      <c r="E15" s="231"/>
      <c r="F15" s="54">
        <f t="shared" si="0"/>
        <v>570</v>
      </c>
      <c r="G15" s="240"/>
      <c r="H15" s="226"/>
      <c r="I15" s="62">
        <v>0</v>
      </c>
      <c r="J15" s="271"/>
      <c r="K15" s="246">
        <v>410000</v>
      </c>
      <c r="L15" s="67">
        <v>1598014</v>
      </c>
    </row>
    <row r="16" spans="1:12" x14ac:dyDescent="0.3">
      <c r="A16" s="32">
        <v>46024</v>
      </c>
      <c r="B16" s="230" t="s">
        <v>103</v>
      </c>
      <c r="C16" s="244"/>
      <c r="D16" s="236"/>
      <c r="E16" s="231"/>
      <c r="F16" s="54">
        <f t="shared" si="0"/>
        <v>570</v>
      </c>
      <c r="G16" s="240"/>
      <c r="H16" s="226"/>
      <c r="I16" s="62">
        <v>0</v>
      </c>
      <c r="J16" s="248"/>
      <c r="K16" s="246">
        <v>1449000</v>
      </c>
      <c r="L16" s="67">
        <v>149014</v>
      </c>
    </row>
    <row r="17" spans="1:12" x14ac:dyDescent="0.3">
      <c r="A17" s="32">
        <v>46024</v>
      </c>
      <c r="B17" s="230" t="s">
        <v>104</v>
      </c>
      <c r="C17" s="244"/>
      <c r="D17" s="236"/>
      <c r="E17" s="231">
        <v>50</v>
      </c>
      <c r="F17" s="54">
        <f t="shared" si="0"/>
        <v>520</v>
      </c>
      <c r="G17" s="240"/>
      <c r="H17" s="226"/>
      <c r="I17" s="62">
        <v>0</v>
      </c>
      <c r="J17" s="248"/>
      <c r="K17" s="246"/>
      <c r="L17" s="67">
        <v>149014</v>
      </c>
    </row>
    <row r="18" spans="1:12" x14ac:dyDescent="0.3">
      <c r="A18" s="32">
        <v>46024</v>
      </c>
      <c r="B18" s="230" t="s">
        <v>105</v>
      </c>
      <c r="C18" s="244"/>
      <c r="D18" s="236"/>
      <c r="E18" s="231"/>
      <c r="F18" s="54">
        <f t="shared" si="0"/>
        <v>520</v>
      </c>
      <c r="G18" s="240"/>
      <c r="H18" s="226"/>
      <c r="I18" s="62">
        <v>0</v>
      </c>
      <c r="J18" s="271"/>
      <c r="K18" s="246">
        <v>19800</v>
      </c>
      <c r="L18" s="67">
        <v>129214</v>
      </c>
    </row>
    <row r="19" spans="1:12" x14ac:dyDescent="0.3">
      <c r="A19" s="32">
        <v>46024</v>
      </c>
      <c r="B19" s="232" t="s">
        <v>106</v>
      </c>
      <c r="C19" s="244"/>
      <c r="D19" s="236"/>
      <c r="E19" s="231">
        <v>200</v>
      </c>
      <c r="F19" s="54">
        <f t="shared" si="0"/>
        <v>320</v>
      </c>
      <c r="G19" s="242"/>
      <c r="H19" s="226"/>
      <c r="I19" s="62">
        <v>0</v>
      </c>
      <c r="J19" s="248"/>
      <c r="K19" s="246"/>
      <c r="L19" s="67">
        <v>129214</v>
      </c>
    </row>
    <row r="20" spans="1:12" s="2" customFormat="1" x14ac:dyDescent="0.3">
      <c r="A20" s="32">
        <v>46024</v>
      </c>
      <c r="B20" s="222" t="s">
        <v>107</v>
      </c>
      <c r="C20" s="244"/>
      <c r="D20" s="236"/>
      <c r="E20" s="231">
        <v>100</v>
      </c>
      <c r="F20" s="54">
        <f t="shared" si="0"/>
        <v>220</v>
      </c>
      <c r="G20" s="242"/>
      <c r="H20" s="227"/>
      <c r="I20" s="62">
        <v>0</v>
      </c>
      <c r="J20" s="65"/>
      <c r="K20" s="246"/>
      <c r="L20" s="67">
        <v>129214</v>
      </c>
    </row>
    <row r="21" spans="1:12" s="2" customFormat="1" x14ac:dyDescent="0.3">
      <c r="A21" s="32">
        <v>46024</v>
      </c>
      <c r="B21" s="230" t="s">
        <v>108</v>
      </c>
      <c r="C21" s="239"/>
      <c r="D21" s="236"/>
      <c r="E21" s="231"/>
      <c r="F21" s="54">
        <f t="shared" si="0"/>
        <v>220</v>
      </c>
      <c r="G21" s="243"/>
      <c r="H21" s="227"/>
      <c r="I21" s="62">
        <v>0</v>
      </c>
      <c r="J21" s="264"/>
      <c r="K21" s="246">
        <v>50000</v>
      </c>
      <c r="L21" s="67">
        <v>79214</v>
      </c>
    </row>
    <row r="22" spans="1:12" s="2" customFormat="1" x14ac:dyDescent="0.3">
      <c r="A22" s="32">
        <v>46024</v>
      </c>
      <c r="B22" s="230" t="s">
        <v>109</v>
      </c>
      <c r="C22" s="244"/>
      <c r="D22" s="236"/>
      <c r="E22" s="231">
        <v>55</v>
      </c>
      <c r="F22" s="54">
        <f t="shared" si="0"/>
        <v>165</v>
      </c>
      <c r="G22" s="223"/>
      <c r="H22" s="221"/>
      <c r="I22" s="62">
        <v>0</v>
      </c>
      <c r="J22" s="271"/>
      <c r="K22" s="246"/>
      <c r="L22" s="67">
        <v>79214</v>
      </c>
    </row>
    <row r="23" spans="1:12" s="2" customFormat="1" x14ac:dyDescent="0.3">
      <c r="A23" s="32">
        <v>46024</v>
      </c>
      <c r="B23" s="230" t="s">
        <v>110</v>
      </c>
      <c r="C23" s="244"/>
      <c r="D23" s="236"/>
      <c r="E23" s="231">
        <v>25</v>
      </c>
      <c r="F23" s="54">
        <f t="shared" si="0"/>
        <v>140</v>
      </c>
      <c r="G23" s="223"/>
      <c r="H23" s="227"/>
      <c r="I23" s="62">
        <v>0</v>
      </c>
      <c r="J23" s="271"/>
      <c r="K23" s="246"/>
      <c r="L23" s="67">
        <v>79214</v>
      </c>
    </row>
    <row r="24" spans="1:12" s="225" customFormat="1" x14ac:dyDescent="0.3">
      <c r="A24" s="32">
        <v>46025</v>
      </c>
      <c r="B24" s="220" t="s">
        <v>113</v>
      </c>
      <c r="C24" s="244"/>
      <c r="D24" s="236">
        <v>25</v>
      </c>
      <c r="E24" s="231"/>
      <c r="F24" s="54">
        <f t="shared" ref="F24:F28" si="1">+F23+D24-E24</f>
        <v>165</v>
      </c>
      <c r="G24" s="240"/>
      <c r="H24" s="228"/>
      <c r="I24" s="62">
        <v>0</v>
      </c>
      <c r="J24" s="130"/>
      <c r="K24" s="246"/>
      <c r="L24" s="67">
        <f t="shared" ref="L24:L28" si="2">+L23+J24-K24</f>
        <v>79214</v>
      </c>
    </row>
    <row r="25" spans="1:12" s="225" customFormat="1" x14ac:dyDescent="0.3">
      <c r="A25" s="32">
        <v>46025</v>
      </c>
      <c r="B25" s="220" t="s">
        <v>114</v>
      </c>
      <c r="C25" s="244"/>
      <c r="D25" s="236">
        <v>140</v>
      </c>
      <c r="E25" s="231"/>
      <c r="F25" s="54">
        <f t="shared" si="1"/>
        <v>305</v>
      </c>
      <c r="G25" s="240"/>
      <c r="H25" s="226"/>
      <c r="I25" s="62">
        <v>0</v>
      </c>
      <c r="J25" s="229"/>
      <c r="K25" s="246"/>
      <c r="L25" s="67">
        <f t="shared" si="2"/>
        <v>79214</v>
      </c>
    </row>
    <row r="26" spans="1:12" s="225" customFormat="1" x14ac:dyDescent="0.3">
      <c r="A26" s="32">
        <v>46025</v>
      </c>
      <c r="B26" s="230" t="s">
        <v>115</v>
      </c>
      <c r="C26" s="244"/>
      <c r="D26" s="236"/>
      <c r="E26" s="231">
        <v>150</v>
      </c>
      <c r="F26" s="54">
        <f t="shared" si="1"/>
        <v>155</v>
      </c>
      <c r="G26" s="240"/>
      <c r="H26" s="226"/>
      <c r="I26" s="62">
        <v>0</v>
      </c>
      <c r="J26" s="229"/>
      <c r="K26" s="246"/>
      <c r="L26" s="67">
        <f t="shared" si="2"/>
        <v>79214</v>
      </c>
    </row>
    <row r="27" spans="1:12" s="225" customFormat="1" x14ac:dyDescent="0.3">
      <c r="A27" s="32">
        <v>46025</v>
      </c>
      <c r="B27" s="220" t="s">
        <v>102</v>
      </c>
      <c r="C27" s="244"/>
      <c r="D27" s="236">
        <v>182</v>
      </c>
      <c r="E27" s="231"/>
      <c r="F27" s="54">
        <f t="shared" si="1"/>
        <v>337</v>
      </c>
      <c r="G27" s="240"/>
      <c r="H27" s="226"/>
      <c r="I27" s="62">
        <v>0</v>
      </c>
      <c r="J27" s="264"/>
      <c r="K27" s="246"/>
      <c r="L27" s="67">
        <f t="shared" si="2"/>
        <v>79214</v>
      </c>
    </row>
    <row r="28" spans="1:12" s="225" customFormat="1" x14ac:dyDescent="0.3">
      <c r="A28" s="32">
        <v>46025</v>
      </c>
      <c r="B28" s="220" t="s">
        <v>116</v>
      </c>
      <c r="C28" s="244"/>
      <c r="D28" s="236">
        <v>9</v>
      </c>
      <c r="E28" s="231"/>
      <c r="F28" s="54">
        <f t="shared" si="1"/>
        <v>346</v>
      </c>
      <c r="G28" s="240"/>
      <c r="H28" s="228"/>
      <c r="I28" s="62">
        <v>0</v>
      </c>
      <c r="J28" s="264"/>
      <c r="K28" s="246"/>
      <c r="L28" s="67">
        <f t="shared" si="2"/>
        <v>79214</v>
      </c>
    </row>
    <row r="29" spans="1:12" s="225" customFormat="1" x14ac:dyDescent="0.3">
      <c r="A29" s="32">
        <v>46028</v>
      </c>
      <c r="B29" s="234" t="s">
        <v>16</v>
      </c>
      <c r="C29" s="244"/>
      <c r="D29" s="236">
        <v>3000</v>
      </c>
      <c r="E29" s="231"/>
      <c r="F29" s="54">
        <f>+F28+D29-E29</f>
        <v>3346</v>
      </c>
      <c r="G29" s="240"/>
      <c r="H29" s="226">
        <v>0</v>
      </c>
      <c r="I29" s="62">
        <v>0</v>
      </c>
      <c r="J29" s="247"/>
      <c r="K29" s="246"/>
      <c r="L29" s="67">
        <f>+L28+J29-K29</f>
        <v>79214</v>
      </c>
    </row>
    <row r="30" spans="1:12" s="2" customFormat="1" x14ac:dyDescent="0.3">
      <c r="A30" s="32">
        <v>46025</v>
      </c>
      <c r="B30" s="230" t="s">
        <v>111</v>
      </c>
      <c r="C30" s="244"/>
      <c r="D30" s="236"/>
      <c r="E30" s="231">
        <v>150</v>
      </c>
      <c r="F30" s="54">
        <f t="shared" ref="F30:F44" si="3">+F29+D30-E30</f>
        <v>3196</v>
      </c>
      <c r="G30" s="240"/>
      <c r="H30" s="226">
        <v>0</v>
      </c>
      <c r="I30" s="62">
        <v>0</v>
      </c>
      <c r="J30" s="247"/>
      <c r="K30" s="246"/>
      <c r="L30" s="67">
        <f t="shared" ref="L30:L43" si="4">+L29+J30-K30</f>
        <v>79214</v>
      </c>
    </row>
    <row r="31" spans="1:12" s="2" customFormat="1" x14ac:dyDescent="0.3">
      <c r="A31" s="32">
        <v>46025</v>
      </c>
      <c r="B31" s="230" t="s">
        <v>112</v>
      </c>
      <c r="C31" s="244"/>
      <c r="D31" s="236"/>
      <c r="E31" s="231">
        <v>60</v>
      </c>
      <c r="F31" s="54">
        <f t="shared" si="3"/>
        <v>3136</v>
      </c>
      <c r="G31" s="241"/>
      <c r="H31" s="226"/>
      <c r="I31" s="62">
        <v>0</v>
      </c>
      <c r="J31" s="229"/>
      <c r="K31" s="246"/>
      <c r="L31" s="67">
        <f t="shared" si="4"/>
        <v>79214</v>
      </c>
    </row>
    <row r="32" spans="1:12" s="2" customFormat="1" x14ac:dyDescent="0.3">
      <c r="A32" s="32">
        <v>46028</v>
      </c>
      <c r="B32" s="230" t="s">
        <v>117</v>
      </c>
      <c r="C32" s="244"/>
      <c r="D32" s="236"/>
      <c r="E32" s="231">
        <v>20</v>
      </c>
      <c r="F32" s="54">
        <f t="shared" si="3"/>
        <v>3116</v>
      </c>
      <c r="G32" s="241"/>
      <c r="H32" s="226"/>
      <c r="I32" s="62">
        <v>0</v>
      </c>
      <c r="J32" s="229"/>
      <c r="K32" s="246"/>
      <c r="L32" s="67">
        <f t="shared" si="4"/>
        <v>79214</v>
      </c>
    </row>
    <row r="33" spans="1:12" s="2" customFormat="1" x14ac:dyDescent="0.3">
      <c r="A33" s="32">
        <v>46028</v>
      </c>
      <c r="B33" s="230" t="s">
        <v>28</v>
      </c>
      <c r="C33" s="244"/>
      <c r="D33" s="236"/>
      <c r="E33" s="231">
        <v>50</v>
      </c>
      <c r="F33" s="54">
        <f t="shared" si="3"/>
        <v>3066</v>
      </c>
      <c r="G33" s="240"/>
      <c r="H33" s="228"/>
      <c r="I33" s="62">
        <v>0</v>
      </c>
      <c r="J33" s="130"/>
      <c r="K33" s="246"/>
      <c r="L33" s="67">
        <f t="shared" si="4"/>
        <v>79214</v>
      </c>
    </row>
    <row r="34" spans="1:12" s="2" customFormat="1" x14ac:dyDescent="0.3">
      <c r="A34" s="32">
        <v>46028</v>
      </c>
      <c r="B34" s="230" t="s">
        <v>118</v>
      </c>
      <c r="C34" s="244"/>
      <c r="D34" s="236"/>
      <c r="E34" s="231">
        <v>60</v>
      </c>
      <c r="F34" s="54">
        <f t="shared" si="3"/>
        <v>3006</v>
      </c>
      <c r="G34" s="240"/>
      <c r="H34" s="226"/>
      <c r="I34" s="62">
        <v>0</v>
      </c>
      <c r="J34" s="229"/>
      <c r="K34" s="246"/>
      <c r="L34" s="67">
        <f t="shared" si="4"/>
        <v>79214</v>
      </c>
    </row>
    <row r="35" spans="1:12" s="2" customFormat="1" x14ac:dyDescent="0.3">
      <c r="A35" s="32">
        <v>46028</v>
      </c>
      <c r="B35" s="230" t="s">
        <v>64</v>
      </c>
      <c r="C35" s="244"/>
      <c r="D35" s="236"/>
      <c r="E35" s="231">
        <v>20</v>
      </c>
      <c r="F35" s="54">
        <f t="shared" si="3"/>
        <v>2986</v>
      </c>
      <c r="G35" s="240"/>
      <c r="H35" s="226"/>
      <c r="I35" s="62">
        <v>0</v>
      </c>
      <c r="J35" s="229"/>
      <c r="K35" s="246"/>
      <c r="L35" s="67">
        <f t="shared" si="4"/>
        <v>79214</v>
      </c>
    </row>
    <row r="36" spans="1:12" s="2" customFormat="1" x14ac:dyDescent="0.3">
      <c r="A36" s="32">
        <v>46028</v>
      </c>
      <c r="B36" s="230" t="s">
        <v>80</v>
      </c>
      <c r="C36" s="244"/>
      <c r="D36" s="236"/>
      <c r="E36" s="231">
        <v>30</v>
      </c>
      <c r="F36" s="54">
        <f t="shared" si="3"/>
        <v>2956</v>
      </c>
      <c r="G36" s="240"/>
      <c r="H36" s="226"/>
      <c r="I36" s="62">
        <v>0</v>
      </c>
      <c r="J36" s="264"/>
      <c r="K36" s="246"/>
      <c r="L36" s="67">
        <f t="shared" si="4"/>
        <v>79214</v>
      </c>
    </row>
    <row r="37" spans="1:12" s="2" customFormat="1" x14ac:dyDescent="0.3">
      <c r="A37" s="32">
        <v>46028</v>
      </c>
      <c r="B37" s="230" t="s">
        <v>35</v>
      </c>
      <c r="C37" s="244"/>
      <c r="D37" s="236"/>
      <c r="E37" s="231">
        <v>10</v>
      </c>
      <c r="F37" s="54">
        <f t="shared" si="3"/>
        <v>2946</v>
      </c>
      <c r="G37" s="240"/>
      <c r="H37" s="228"/>
      <c r="I37" s="62">
        <v>0</v>
      </c>
      <c r="J37" s="264"/>
      <c r="K37" s="246"/>
      <c r="L37" s="67">
        <f t="shared" si="4"/>
        <v>79214</v>
      </c>
    </row>
    <row r="38" spans="1:12" s="2" customFormat="1" x14ac:dyDescent="0.3">
      <c r="A38" s="32">
        <v>46028</v>
      </c>
      <c r="B38" s="230" t="s">
        <v>38</v>
      </c>
      <c r="C38" s="244"/>
      <c r="D38" s="236"/>
      <c r="E38" s="231">
        <v>100</v>
      </c>
      <c r="F38" s="54">
        <f t="shared" si="3"/>
        <v>2846</v>
      </c>
      <c r="G38" s="241"/>
      <c r="H38" s="226"/>
      <c r="I38" s="62">
        <v>0</v>
      </c>
      <c r="J38" s="233"/>
      <c r="K38" s="246"/>
      <c r="L38" s="67">
        <f t="shared" si="4"/>
        <v>79214</v>
      </c>
    </row>
    <row r="39" spans="1:12" s="2" customFormat="1" x14ac:dyDescent="0.3">
      <c r="A39" s="32">
        <v>46028</v>
      </c>
      <c r="B39" s="230" t="s">
        <v>119</v>
      </c>
      <c r="C39" s="244"/>
      <c r="D39" s="236"/>
      <c r="E39" s="231">
        <v>25</v>
      </c>
      <c r="F39" s="54">
        <f t="shared" si="3"/>
        <v>2821</v>
      </c>
      <c r="G39" s="240"/>
      <c r="H39" s="226"/>
      <c r="I39" s="62">
        <v>0</v>
      </c>
      <c r="J39" s="264"/>
      <c r="K39" s="246"/>
      <c r="L39" s="67">
        <f t="shared" si="4"/>
        <v>79214</v>
      </c>
    </row>
    <row r="40" spans="1:12" s="2" customFormat="1" x14ac:dyDescent="0.3">
      <c r="A40" s="32">
        <v>46028</v>
      </c>
      <c r="B40" s="230" t="s">
        <v>120</v>
      </c>
      <c r="C40" s="244"/>
      <c r="D40" s="236"/>
      <c r="E40" s="231">
        <v>140</v>
      </c>
      <c r="F40" s="54">
        <f t="shared" si="3"/>
        <v>2681</v>
      </c>
      <c r="G40" s="240"/>
      <c r="H40" s="226"/>
      <c r="I40" s="62">
        <v>0</v>
      </c>
      <c r="J40" s="271"/>
      <c r="K40" s="246"/>
      <c r="L40" s="67">
        <f t="shared" si="4"/>
        <v>79214</v>
      </c>
    </row>
    <row r="41" spans="1:12" s="2" customFormat="1" x14ac:dyDescent="0.3">
      <c r="A41" s="32">
        <v>46028</v>
      </c>
      <c r="B41" s="222" t="s">
        <v>23</v>
      </c>
      <c r="C41" s="244"/>
      <c r="D41" s="236"/>
      <c r="E41" s="231">
        <v>200</v>
      </c>
      <c r="F41" s="54">
        <f t="shared" si="3"/>
        <v>2481</v>
      </c>
      <c r="G41" s="240"/>
      <c r="H41" s="226"/>
      <c r="I41" s="62">
        <v>0</v>
      </c>
      <c r="J41" s="248">
        <v>440000</v>
      </c>
      <c r="K41" s="246"/>
      <c r="L41" s="67">
        <f t="shared" si="4"/>
        <v>519214</v>
      </c>
    </row>
    <row r="42" spans="1:12" s="2" customFormat="1" x14ac:dyDescent="0.3">
      <c r="A42" s="32">
        <v>46028</v>
      </c>
      <c r="B42" s="230" t="s">
        <v>121</v>
      </c>
      <c r="C42" s="244"/>
      <c r="D42" s="236"/>
      <c r="E42" s="231"/>
      <c r="F42" s="54">
        <f t="shared" si="3"/>
        <v>2481</v>
      </c>
      <c r="G42" s="240"/>
      <c r="H42" s="226"/>
      <c r="I42" s="62">
        <v>0</v>
      </c>
      <c r="J42" s="248"/>
      <c r="K42" s="246">
        <v>410000</v>
      </c>
      <c r="L42" s="67">
        <f t="shared" si="4"/>
        <v>109214</v>
      </c>
    </row>
    <row r="43" spans="1:12" s="2" customFormat="1" x14ac:dyDescent="0.3">
      <c r="A43" s="32">
        <v>46028</v>
      </c>
      <c r="B43" s="230" t="s">
        <v>116</v>
      </c>
      <c r="C43" s="244"/>
      <c r="D43" s="236"/>
      <c r="E43" s="231"/>
      <c r="F43" s="54">
        <f t="shared" si="3"/>
        <v>2481</v>
      </c>
      <c r="G43" s="240"/>
      <c r="H43" s="226"/>
      <c r="I43" s="62">
        <v>0</v>
      </c>
      <c r="J43" s="271"/>
      <c r="K43" s="246">
        <v>16800</v>
      </c>
      <c r="L43" s="67">
        <f t="shared" si="4"/>
        <v>92414</v>
      </c>
    </row>
    <row r="44" spans="1:12" s="2" customFormat="1" x14ac:dyDescent="0.3">
      <c r="A44" s="32">
        <v>46028</v>
      </c>
      <c r="B44" s="230" t="s">
        <v>122</v>
      </c>
      <c r="C44" s="244"/>
      <c r="D44" s="236"/>
      <c r="E44" s="231">
        <v>2000</v>
      </c>
      <c r="F44" s="54">
        <f t="shared" si="3"/>
        <v>481</v>
      </c>
      <c r="G44" s="242"/>
      <c r="H44" s="226"/>
      <c r="I44" s="62">
        <v>0</v>
      </c>
      <c r="J44" s="248"/>
      <c r="K44" s="246"/>
      <c r="L44" s="67">
        <f t="shared" ref="L44" si="5">+L43+J44-K44</f>
        <v>92414</v>
      </c>
    </row>
    <row r="45" spans="1:12" s="2" customFormat="1" x14ac:dyDescent="0.3">
      <c r="A45" s="32">
        <v>46029</v>
      </c>
      <c r="B45" s="230" t="s">
        <v>93</v>
      </c>
      <c r="C45" s="244"/>
      <c r="D45" s="236"/>
      <c r="E45" s="231">
        <v>50</v>
      </c>
      <c r="F45" s="54">
        <f>+F44+D45-E45</f>
        <v>431</v>
      </c>
      <c r="G45" s="240"/>
      <c r="H45" s="226">
        <v>0</v>
      </c>
      <c r="I45" s="62">
        <v>0</v>
      </c>
      <c r="J45" s="247"/>
      <c r="K45" s="246"/>
      <c r="L45" s="67">
        <f>+L44+J45-K45</f>
        <v>92414</v>
      </c>
    </row>
    <row r="46" spans="1:12" s="2" customFormat="1" x14ac:dyDescent="0.3">
      <c r="A46" s="32">
        <v>46029</v>
      </c>
      <c r="B46" s="230" t="s">
        <v>123</v>
      </c>
      <c r="C46" s="244"/>
      <c r="D46" s="236"/>
      <c r="E46" s="231"/>
      <c r="F46" s="54">
        <f t="shared" ref="F46:F53" si="6">+F45+D46-E46</f>
        <v>431</v>
      </c>
      <c r="G46" s="241"/>
      <c r="H46" s="226"/>
      <c r="I46" s="62">
        <v>0</v>
      </c>
      <c r="J46" s="229"/>
      <c r="K46" s="246">
        <v>10000</v>
      </c>
      <c r="L46" s="67">
        <f t="shared" ref="L46:L53" si="7">+L45+J46-K46</f>
        <v>82414</v>
      </c>
    </row>
    <row r="47" spans="1:12" s="2" customFormat="1" x14ac:dyDescent="0.3">
      <c r="A47" s="32">
        <v>46029</v>
      </c>
      <c r="B47" s="230" t="s">
        <v>31</v>
      </c>
      <c r="C47" s="244"/>
      <c r="D47" s="236"/>
      <c r="E47" s="231">
        <v>10</v>
      </c>
      <c r="F47" s="54">
        <f t="shared" si="6"/>
        <v>421</v>
      </c>
      <c r="G47" s="240"/>
      <c r="H47" s="228"/>
      <c r="I47" s="62">
        <v>0</v>
      </c>
      <c r="J47" s="130"/>
      <c r="K47" s="246"/>
      <c r="L47" s="67">
        <f t="shared" si="7"/>
        <v>82414</v>
      </c>
    </row>
    <row r="48" spans="1:12" s="2" customFormat="1" x14ac:dyDescent="0.3">
      <c r="A48" s="32">
        <v>46029</v>
      </c>
      <c r="B48" s="230" t="s">
        <v>124</v>
      </c>
      <c r="C48" s="244"/>
      <c r="D48" s="236"/>
      <c r="E48" s="231">
        <v>40</v>
      </c>
      <c r="F48" s="54">
        <f t="shared" si="6"/>
        <v>381</v>
      </c>
      <c r="G48" s="240"/>
      <c r="H48" s="226"/>
      <c r="I48" s="62">
        <v>0</v>
      </c>
      <c r="J48" s="229"/>
      <c r="K48" s="246"/>
      <c r="L48" s="67">
        <f t="shared" si="7"/>
        <v>82414</v>
      </c>
    </row>
    <row r="49" spans="1:12" s="2" customFormat="1" x14ac:dyDescent="0.3">
      <c r="A49" s="32">
        <v>46029</v>
      </c>
      <c r="B49" s="230" t="s">
        <v>125</v>
      </c>
      <c r="C49" s="244"/>
      <c r="D49" s="236"/>
      <c r="E49" s="231">
        <v>60</v>
      </c>
      <c r="F49" s="54">
        <f t="shared" si="6"/>
        <v>321</v>
      </c>
      <c r="G49" s="240"/>
      <c r="H49" s="226"/>
      <c r="I49" s="62">
        <v>0</v>
      </c>
      <c r="J49" s="229"/>
      <c r="K49" s="246"/>
      <c r="L49" s="67">
        <f t="shared" si="7"/>
        <v>82414</v>
      </c>
    </row>
    <row r="50" spans="1:12" s="2" customFormat="1" x14ac:dyDescent="0.3">
      <c r="A50" s="32">
        <v>46029</v>
      </c>
      <c r="B50" s="230" t="s">
        <v>27</v>
      </c>
      <c r="C50" s="244"/>
      <c r="D50" s="236"/>
      <c r="E50" s="231">
        <v>10</v>
      </c>
      <c r="F50" s="54">
        <f t="shared" si="6"/>
        <v>311</v>
      </c>
      <c r="G50" s="240"/>
      <c r="H50" s="226"/>
      <c r="I50" s="62">
        <v>0</v>
      </c>
      <c r="J50" s="264"/>
      <c r="K50" s="246"/>
      <c r="L50" s="67">
        <f t="shared" si="7"/>
        <v>82414</v>
      </c>
    </row>
    <row r="51" spans="1:12" s="2" customFormat="1" x14ac:dyDescent="0.3">
      <c r="A51" s="32">
        <v>46029</v>
      </c>
      <c r="B51" s="230" t="s">
        <v>57</v>
      </c>
      <c r="C51" s="244"/>
      <c r="D51" s="236"/>
      <c r="E51" s="231"/>
      <c r="F51" s="54">
        <f t="shared" si="6"/>
        <v>311</v>
      </c>
      <c r="G51" s="240"/>
      <c r="H51" s="228"/>
      <c r="I51" s="62">
        <v>0</v>
      </c>
      <c r="J51" s="264"/>
      <c r="K51" s="246">
        <v>10000</v>
      </c>
      <c r="L51" s="67">
        <f t="shared" si="7"/>
        <v>72414</v>
      </c>
    </row>
    <row r="52" spans="1:12" s="2" customFormat="1" x14ac:dyDescent="0.3">
      <c r="A52" s="32">
        <v>46029</v>
      </c>
      <c r="B52" s="222" t="s">
        <v>23</v>
      </c>
      <c r="C52" s="244"/>
      <c r="D52" s="236"/>
      <c r="E52" s="231">
        <v>50</v>
      </c>
      <c r="F52" s="54">
        <f t="shared" si="6"/>
        <v>261</v>
      </c>
      <c r="G52" s="241"/>
      <c r="H52" s="226"/>
      <c r="I52" s="62">
        <v>0</v>
      </c>
      <c r="J52" s="233">
        <v>110000</v>
      </c>
      <c r="K52" s="246"/>
      <c r="L52" s="67">
        <f t="shared" si="7"/>
        <v>182414</v>
      </c>
    </row>
    <row r="53" spans="1:12" s="2" customFormat="1" x14ac:dyDescent="0.3">
      <c r="A53" s="32">
        <v>46029</v>
      </c>
      <c r="B53" s="230" t="s">
        <v>53</v>
      </c>
      <c r="C53" s="244"/>
      <c r="D53" s="236"/>
      <c r="E53" s="231"/>
      <c r="F53" s="54">
        <f t="shared" si="6"/>
        <v>261</v>
      </c>
      <c r="G53" s="240"/>
      <c r="H53" s="226"/>
      <c r="I53" s="62">
        <v>0</v>
      </c>
      <c r="J53" s="264"/>
      <c r="K53" s="246">
        <v>80000</v>
      </c>
      <c r="L53" s="67">
        <f t="shared" si="7"/>
        <v>102414</v>
      </c>
    </row>
    <row r="54" spans="1:12" s="2" customFormat="1" x14ac:dyDescent="0.3">
      <c r="A54" s="32">
        <v>46030</v>
      </c>
      <c r="B54" s="234" t="s">
        <v>33</v>
      </c>
      <c r="C54" s="244"/>
      <c r="D54" s="236">
        <v>2000</v>
      </c>
      <c r="E54" s="231"/>
      <c r="F54" s="54">
        <f>+F53+C54+D54-E54</f>
        <v>2261</v>
      </c>
      <c r="G54" s="240"/>
      <c r="H54" s="226">
        <v>0</v>
      </c>
      <c r="I54" s="62">
        <v>0</v>
      </c>
      <c r="J54" s="247"/>
      <c r="K54" s="246"/>
      <c r="L54" s="67">
        <f>+L53+J54-K54</f>
        <v>102414</v>
      </c>
    </row>
    <row r="55" spans="1:12" s="2" customFormat="1" x14ac:dyDescent="0.3">
      <c r="A55" s="32">
        <v>46030</v>
      </c>
      <c r="B55" s="230" t="s">
        <v>126</v>
      </c>
      <c r="C55" s="244"/>
      <c r="D55" s="236"/>
      <c r="E55" s="231">
        <v>65</v>
      </c>
      <c r="F55" s="54">
        <f t="shared" ref="F55:F64" si="8">+F54+C55+D55-E55</f>
        <v>2196</v>
      </c>
      <c r="G55" s="241"/>
      <c r="H55" s="226"/>
      <c r="I55" s="62">
        <v>0</v>
      </c>
      <c r="J55" s="229"/>
      <c r="K55" s="246"/>
      <c r="L55" s="67">
        <f t="shared" ref="L55:L64" si="9">+L54+J55-K55</f>
        <v>102414</v>
      </c>
    </row>
    <row r="56" spans="1:12" s="2" customFormat="1" x14ac:dyDescent="0.3">
      <c r="A56" s="32">
        <v>46030</v>
      </c>
      <c r="B56" s="230" t="s">
        <v>36</v>
      </c>
      <c r="C56" s="244"/>
      <c r="D56" s="236"/>
      <c r="E56" s="231">
        <v>50</v>
      </c>
      <c r="F56" s="54">
        <f t="shared" si="8"/>
        <v>2146</v>
      </c>
      <c r="G56" s="240"/>
      <c r="H56" s="228"/>
      <c r="I56" s="62">
        <v>0</v>
      </c>
      <c r="J56" s="130"/>
      <c r="K56" s="246"/>
      <c r="L56" s="67">
        <f t="shared" si="9"/>
        <v>102414</v>
      </c>
    </row>
    <row r="57" spans="1:12" s="2" customFormat="1" x14ac:dyDescent="0.3">
      <c r="A57" s="32">
        <v>46030</v>
      </c>
      <c r="B57" s="230" t="s">
        <v>127</v>
      </c>
      <c r="C57" s="244"/>
      <c r="D57" s="236"/>
      <c r="E57" s="231">
        <v>10</v>
      </c>
      <c r="F57" s="54">
        <f t="shared" si="8"/>
        <v>2136</v>
      </c>
      <c r="G57" s="240"/>
      <c r="H57" s="226"/>
      <c r="I57" s="62">
        <v>0</v>
      </c>
      <c r="J57" s="229"/>
      <c r="K57" s="246"/>
      <c r="L57" s="67">
        <f t="shared" si="9"/>
        <v>102414</v>
      </c>
    </row>
    <row r="58" spans="1:12" s="2" customFormat="1" x14ac:dyDescent="0.3">
      <c r="A58" s="32">
        <v>46030</v>
      </c>
      <c r="B58" s="230" t="s">
        <v>20</v>
      </c>
      <c r="C58" s="244"/>
      <c r="D58" s="236"/>
      <c r="E58" s="231">
        <v>100</v>
      </c>
      <c r="F58" s="54">
        <f t="shared" si="8"/>
        <v>2036</v>
      </c>
      <c r="G58" s="240"/>
      <c r="H58" s="226"/>
      <c r="I58" s="62">
        <v>0</v>
      </c>
      <c r="J58" s="229"/>
      <c r="K58" s="246"/>
      <c r="L58" s="67">
        <f t="shared" si="9"/>
        <v>102414</v>
      </c>
    </row>
    <row r="59" spans="1:12" s="2" customFormat="1" x14ac:dyDescent="0.3">
      <c r="A59" s="32">
        <v>46030</v>
      </c>
      <c r="B59" s="230" t="s">
        <v>128</v>
      </c>
      <c r="C59" s="244"/>
      <c r="D59" s="236"/>
      <c r="E59" s="231">
        <v>140</v>
      </c>
      <c r="F59" s="54">
        <f t="shared" si="8"/>
        <v>1896</v>
      </c>
      <c r="G59" s="240"/>
      <c r="H59" s="226"/>
      <c r="I59" s="62">
        <v>0</v>
      </c>
      <c r="J59" s="264"/>
      <c r="K59" s="246"/>
      <c r="L59" s="67">
        <f t="shared" si="9"/>
        <v>102414</v>
      </c>
    </row>
    <row r="60" spans="1:12" s="2" customFormat="1" x14ac:dyDescent="0.3">
      <c r="A60" s="32">
        <v>46030</v>
      </c>
      <c r="B60" s="230" t="s">
        <v>27</v>
      </c>
      <c r="C60" s="244"/>
      <c r="D60" s="236"/>
      <c r="E60" s="231">
        <v>10</v>
      </c>
      <c r="F60" s="54">
        <f t="shared" si="8"/>
        <v>1886</v>
      </c>
      <c r="G60" s="240"/>
      <c r="H60" s="228"/>
      <c r="I60" s="62">
        <v>0</v>
      </c>
      <c r="J60" s="264"/>
      <c r="K60" s="246"/>
      <c r="L60" s="67">
        <f t="shared" si="9"/>
        <v>102414</v>
      </c>
    </row>
    <row r="61" spans="1:12" s="2" customFormat="1" x14ac:dyDescent="0.3">
      <c r="A61" s="32">
        <v>46030</v>
      </c>
      <c r="B61" s="222" t="s">
        <v>23</v>
      </c>
      <c r="C61" s="244"/>
      <c r="D61" s="236"/>
      <c r="E61" s="231">
        <v>1800</v>
      </c>
      <c r="F61" s="54">
        <f t="shared" si="8"/>
        <v>86</v>
      </c>
      <c r="G61" s="241"/>
      <c r="H61" s="226"/>
      <c r="I61" s="62">
        <v>0</v>
      </c>
      <c r="J61" s="233">
        <v>4050000</v>
      </c>
      <c r="K61" s="246"/>
      <c r="L61" s="67">
        <f t="shared" si="9"/>
        <v>4152414</v>
      </c>
    </row>
    <row r="62" spans="1:12" s="2" customFormat="1" x14ac:dyDescent="0.3">
      <c r="A62" s="32">
        <v>46030</v>
      </c>
      <c r="B62" s="230" t="s">
        <v>129</v>
      </c>
      <c r="C62" s="244"/>
      <c r="D62" s="236"/>
      <c r="E62" s="231"/>
      <c r="F62" s="54">
        <f t="shared" si="8"/>
        <v>86</v>
      </c>
      <c r="G62" s="240"/>
      <c r="H62" s="226"/>
      <c r="I62" s="62">
        <v>0</v>
      </c>
      <c r="J62" s="264"/>
      <c r="K62" s="246">
        <v>2248500</v>
      </c>
      <c r="L62" s="67">
        <f t="shared" si="9"/>
        <v>1903914</v>
      </c>
    </row>
    <row r="63" spans="1:12" s="2" customFormat="1" x14ac:dyDescent="0.3">
      <c r="A63" s="32">
        <v>46030</v>
      </c>
      <c r="B63" s="230" t="s">
        <v>130</v>
      </c>
      <c r="C63" s="244"/>
      <c r="D63" s="236"/>
      <c r="E63" s="231"/>
      <c r="F63" s="54">
        <f t="shared" si="8"/>
        <v>86</v>
      </c>
      <c r="G63" s="240"/>
      <c r="H63" s="226"/>
      <c r="I63" s="62">
        <v>0</v>
      </c>
      <c r="J63" s="271"/>
      <c r="K63" s="246">
        <v>1780062</v>
      </c>
      <c r="L63" s="67">
        <f t="shared" si="9"/>
        <v>123852</v>
      </c>
    </row>
    <row r="64" spans="1:12" s="2" customFormat="1" x14ac:dyDescent="0.3">
      <c r="A64" s="32">
        <v>46030</v>
      </c>
      <c r="B64" s="232" t="s">
        <v>131</v>
      </c>
      <c r="C64" s="244">
        <v>400</v>
      </c>
      <c r="D64" s="236"/>
      <c r="E64" s="231"/>
      <c r="F64" s="54">
        <f t="shared" si="8"/>
        <v>486</v>
      </c>
      <c r="G64" s="240"/>
      <c r="H64" s="226"/>
      <c r="I64" s="62">
        <v>0</v>
      </c>
      <c r="J64" s="248"/>
      <c r="K64" s="246"/>
      <c r="L64" s="67">
        <f t="shared" si="9"/>
        <v>123852</v>
      </c>
    </row>
    <row r="65" spans="1:12" s="2" customFormat="1" x14ac:dyDescent="0.3">
      <c r="A65" s="32">
        <v>46031</v>
      </c>
      <c r="B65" s="230" t="s">
        <v>17</v>
      </c>
      <c r="C65" s="244"/>
      <c r="D65" s="236"/>
      <c r="E65" s="231">
        <v>60</v>
      </c>
      <c r="F65" s="54">
        <f>+F64+C65+D65-E65</f>
        <v>426</v>
      </c>
      <c r="G65" s="240"/>
      <c r="H65" s="226">
        <v>0</v>
      </c>
      <c r="I65" s="62">
        <v>0</v>
      </c>
      <c r="J65" s="247"/>
      <c r="K65" s="246"/>
      <c r="L65" s="67">
        <f>+L64+J65-K65</f>
        <v>123852</v>
      </c>
    </row>
    <row r="66" spans="1:12" s="2" customFormat="1" x14ac:dyDescent="0.3">
      <c r="A66" s="32">
        <v>46031</v>
      </c>
      <c r="B66" s="230" t="s">
        <v>71</v>
      </c>
      <c r="C66" s="244"/>
      <c r="D66" s="236"/>
      <c r="E66" s="231"/>
      <c r="F66" s="54">
        <f t="shared" ref="F66:F73" si="10">+F65+C66+D66-E66</f>
        <v>426</v>
      </c>
      <c r="G66" s="241"/>
      <c r="H66" s="226"/>
      <c r="I66" s="62">
        <v>0</v>
      </c>
      <c r="J66" s="229"/>
      <c r="K66" s="246">
        <v>10000</v>
      </c>
      <c r="L66" s="67">
        <f t="shared" ref="L66:L73" si="11">+L65+J66-K66</f>
        <v>113852</v>
      </c>
    </row>
    <row r="67" spans="1:12" s="2" customFormat="1" x14ac:dyDescent="0.3">
      <c r="A67" s="32">
        <v>46031</v>
      </c>
      <c r="B67" s="230" t="s">
        <v>132</v>
      </c>
      <c r="C67" s="244"/>
      <c r="D67" s="236"/>
      <c r="E67" s="231">
        <v>40</v>
      </c>
      <c r="F67" s="54">
        <f t="shared" si="10"/>
        <v>386</v>
      </c>
      <c r="G67" s="240"/>
      <c r="H67" s="228"/>
      <c r="I67" s="62">
        <v>0</v>
      </c>
      <c r="J67" s="130"/>
      <c r="K67" s="246"/>
      <c r="L67" s="67">
        <f t="shared" si="11"/>
        <v>113852</v>
      </c>
    </row>
    <row r="68" spans="1:12" s="2" customFormat="1" x14ac:dyDescent="0.3">
      <c r="A68" s="32">
        <v>46031</v>
      </c>
      <c r="B68" s="230" t="s">
        <v>133</v>
      </c>
      <c r="C68" s="244"/>
      <c r="D68" s="236"/>
      <c r="E68" s="231">
        <v>21</v>
      </c>
      <c r="F68" s="54">
        <f t="shared" si="10"/>
        <v>365</v>
      </c>
      <c r="G68" s="240"/>
      <c r="H68" s="226"/>
      <c r="I68" s="62">
        <v>0</v>
      </c>
      <c r="J68" s="229"/>
      <c r="K68" s="246"/>
      <c r="L68" s="67">
        <f t="shared" si="11"/>
        <v>113852</v>
      </c>
    </row>
    <row r="69" spans="1:12" s="2" customFormat="1" x14ac:dyDescent="0.3">
      <c r="A69" s="32">
        <v>46031</v>
      </c>
      <c r="B69" s="230" t="s">
        <v>134</v>
      </c>
      <c r="C69" s="244"/>
      <c r="D69" s="236"/>
      <c r="E69" s="231">
        <v>21</v>
      </c>
      <c r="F69" s="54">
        <f t="shared" si="10"/>
        <v>344</v>
      </c>
      <c r="G69" s="240"/>
      <c r="H69" s="226"/>
      <c r="I69" s="62">
        <v>0</v>
      </c>
      <c r="J69" s="229"/>
      <c r="K69" s="246"/>
      <c r="L69" s="67">
        <f t="shared" si="11"/>
        <v>113852</v>
      </c>
    </row>
    <row r="70" spans="1:12" s="2" customFormat="1" x14ac:dyDescent="0.3">
      <c r="A70" s="32">
        <v>46031</v>
      </c>
      <c r="B70" s="230" t="s">
        <v>135</v>
      </c>
      <c r="C70" s="244"/>
      <c r="D70" s="236"/>
      <c r="E70" s="231">
        <v>105</v>
      </c>
      <c r="F70" s="54">
        <f t="shared" si="10"/>
        <v>239</v>
      </c>
      <c r="G70" s="240"/>
      <c r="H70" s="226"/>
      <c r="I70" s="62">
        <v>0</v>
      </c>
      <c r="J70" s="264"/>
      <c r="K70" s="246"/>
      <c r="L70" s="67">
        <f t="shared" si="11"/>
        <v>113852</v>
      </c>
    </row>
    <row r="71" spans="1:12" s="2" customFormat="1" x14ac:dyDescent="0.3">
      <c r="A71" s="32">
        <v>46031</v>
      </c>
      <c r="B71" s="230" t="s">
        <v>69</v>
      </c>
      <c r="C71" s="244"/>
      <c r="D71" s="236"/>
      <c r="E71" s="231">
        <v>60</v>
      </c>
      <c r="F71" s="54">
        <f t="shared" si="10"/>
        <v>179</v>
      </c>
      <c r="G71" s="240"/>
      <c r="H71" s="228"/>
      <c r="I71" s="62">
        <v>0</v>
      </c>
      <c r="J71" s="264"/>
      <c r="K71" s="246"/>
      <c r="L71" s="67">
        <f t="shared" si="11"/>
        <v>113852</v>
      </c>
    </row>
    <row r="72" spans="1:12" s="2" customFormat="1" x14ac:dyDescent="0.3">
      <c r="A72" s="32">
        <v>46031</v>
      </c>
      <c r="B72" s="230" t="s">
        <v>52</v>
      </c>
      <c r="C72" s="244"/>
      <c r="D72" s="236"/>
      <c r="E72" s="231"/>
      <c r="F72" s="54">
        <f t="shared" si="10"/>
        <v>179</v>
      </c>
      <c r="G72" s="241"/>
      <c r="H72" s="226"/>
      <c r="I72" s="62">
        <v>0</v>
      </c>
      <c r="J72" s="233"/>
      <c r="K72" s="246">
        <v>10000</v>
      </c>
      <c r="L72" s="67">
        <f t="shared" si="11"/>
        <v>103852</v>
      </c>
    </row>
    <row r="73" spans="1:12" s="2" customFormat="1" x14ac:dyDescent="0.3">
      <c r="A73" s="32">
        <v>46031</v>
      </c>
      <c r="B73" s="230" t="s">
        <v>27</v>
      </c>
      <c r="C73" s="244"/>
      <c r="D73" s="236"/>
      <c r="E73" s="231">
        <v>10</v>
      </c>
      <c r="F73" s="54">
        <f t="shared" si="10"/>
        <v>169</v>
      </c>
      <c r="G73" s="240"/>
      <c r="H73" s="226"/>
      <c r="I73" s="62">
        <v>0</v>
      </c>
      <c r="J73" s="264"/>
      <c r="K73" s="246"/>
      <c r="L73" s="67">
        <f t="shared" si="11"/>
        <v>103852</v>
      </c>
    </row>
    <row r="74" spans="1:12" s="2" customFormat="1" x14ac:dyDescent="0.3">
      <c r="A74" s="32">
        <v>46032</v>
      </c>
      <c r="B74" s="230" t="s">
        <v>41</v>
      </c>
      <c r="C74" s="244"/>
      <c r="D74" s="236"/>
      <c r="E74" s="231">
        <v>50</v>
      </c>
      <c r="F74" s="54">
        <f>+F73+C74+D74-E74</f>
        <v>119</v>
      </c>
      <c r="G74" s="240"/>
      <c r="H74" s="226">
        <v>0</v>
      </c>
      <c r="I74" s="62">
        <v>0</v>
      </c>
      <c r="J74" s="247"/>
      <c r="K74" s="246"/>
      <c r="L74" s="67">
        <f>+L73+J74-K74</f>
        <v>103852</v>
      </c>
    </row>
    <row r="75" spans="1:12" s="2" customFormat="1" x14ac:dyDescent="0.3">
      <c r="A75" s="32">
        <v>46032</v>
      </c>
      <c r="B75" s="230" t="s">
        <v>136</v>
      </c>
      <c r="C75" s="244"/>
      <c r="D75" s="236"/>
      <c r="E75" s="231">
        <v>50</v>
      </c>
      <c r="F75" s="54">
        <f t="shared" ref="F75:F76" si="12">+F74+C75+D75-E75</f>
        <v>69</v>
      </c>
      <c r="G75" s="241"/>
      <c r="H75" s="226"/>
      <c r="I75" s="62">
        <v>0</v>
      </c>
      <c r="J75" s="229"/>
      <c r="K75" s="246"/>
      <c r="L75" s="67">
        <f t="shared" ref="L75:L76" si="13">+L74+J75-K75</f>
        <v>103852</v>
      </c>
    </row>
    <row r="76" spans="1:12" s="2" customFormat="1" x14ac:dyDescent="0.3">
      <c r="A76" s="32">
        <v>46032</v>
      </c>
      <c r="B76" s="230" t="s">
        <v>137</v>
      </c>
      <c r="C76" s="244"/>
      <c r="D76" s="236"/>
      <c r="E76" s="231">
        <v>60</v>
      </c>
      <c r="F76" s="54">
        <f t="shared" si="12"/>
        <v>9</v>
      </c>
      <c r="G76" s="240"/>
      <c r="H76" s="228"/>
      <c r="I76" s="62">
        <v>0</v>
      </c>
      <c r="J76" s="130"/>
      <c r="K76" s="246"/>
      <c r="L76" s="67">
        <f t="shared" si="13"/>
        <v>103852</v>
      </c>
    </row>
    <row r="77" spans="1:12" s="2" customFormat="1" x14ac:dyDescent="0.3">
      <c r="A77" s="32">
        <v>46034</v>
      </c>
      <c r="B77" s="234" t="s">
        <v>33</v>
      </c>
      <c r="C77" s="244"/>
      <c r="D77" s="236">
        <v>6000</v>
      </c>
      <c r="E77" s="231"/>
      <c r="F77" s="54">
        <f>+F76+C77+D77-E77</f>
        <v>6009</v>
      </c>
      <c r="G77" s="240"/>
      <c r="H77" s="226">
        <v>0</v>
      </c>
      <c r="I77" s="62">
        <v>0</v>
      </c>
      <c r="J77" s="247"/>
      <c r="K77" s="246"/>
      <c r="L77" s="67">
        <f>+L76+J77-K77</f>
        <v>103852</v>
      </c>
    </row>
    <row r="78" spans="1:12" s="2" customFormat="1" x14ac:dyDescent="0.3">
      <c r="A78" s="32">
        <v>46034</v>
      </c>
      <c r="B78" s="234" t="s">
        <v>50</v>
      </c>
      <c r="C78" s="244"/>
      <c r="D78" s="236">
        <v>9900</v>
      </c>
      <c r="E78" s="231"/>
      <c r="F78" s="54">
        <f t="shared" ref="F78:F89" si="14">+F77+C78+D78-E78</f>
        <v>15909</v>
      </c>
      <c r="G78" s="241"/>
      <c r="H78" s="226"/>
      <c r="I78" s="62">
        <v>0</v>
      </c>
      <c r="J78" s="229"/>
      <c r="K78" s="246"/>
      <c r="L78" s="67">
        <f t="shared" ref="L78:L89" si="15">+L77+J78-K78</f>
        <v>103852</v>
      </c>
    </row>
    <row r="79" spans="1:12" s="2" customFormat="1" x14ac:dyDescent="0.3">
      <c r="A79" s="32">
        <v>46034</v>
      </c>
      <c r="B79" s="230" t="s">
        <v>138</v>
      </c>
      <c r="C79" s="244"/>
      <c r="D79" s="236"/>
      <c r="E79" s="231">
        <v>300</v>
      </c>
      <c r="F79" s="54">
        <f t="shared" si="14"/>
        <v>15609</v>
      </c>
      <c r="G79" s="240"/>
      <c r="H79" s="228"/>
      <c r="I79" s="62">
        <v>0</v>
      </c>
      <c r="J79" s="130"/>
      <c r="K79" s="246"/>
      <c r="L79" s="67">
        <f t="shared" si="15"/>
        <v>103852</v>
      </c>
    </row>
    <row r="80" spans="1:12" s="2" customFormat="1" x14ac:dyDescent="0.3">
      <c r="A80" s="32">
        <v>46034</v>
      </c>
      <c r="B80" s="230" t="s">
        <v>139</v>
      </c>
      <c r="C80" s="244"/>
      <c r="D80" s="236"/>
      <c r="E80" s="231">
        <v>50</v>
      </c>
      <c r="F80" s="54">
        <f t="shared" si="14"/>
        <v>15559</v>
      </c>
      <c r="G80" s="240"/>
      <c r="H80" s="226"/>
      <c r="I80" s="62">
        <v>0</v>
      </c>
      <c r="J80" s="229"/>
      <c r="K80" s="246"/>
      <c r="L80" s="67">
        <f t="shared" si="15"/>
        <v>103852</v>
      </c>
    </row>
    <row r="81" spans="1:12" s="2" customFormat="1" x14ac:dyDescent="0.3">
      <c r="A81" s="32">
        <v>46034</v>
      </c>
      <c r="B81" s="230" t="s">
        <v>118</v>
      </c>
      <c r="C81" s="244"/>
      <c r="D81" s="236"/>
      <c r="E81" s="231">
        <v>60</v>
      </c>
      <c r="F81" s="54">
        <f t="shared" si="14"/>
        <v>15499</v>
      </c>
      <c r="G81" s="240"/>
      <c r="H81" s="226"/>
      <c r="I81" s="62">
        <v>0</v>
      </c>
      <c r="J81" s="229"/>
      <c r="K81" s="246"/>
      <c r="L81" s="67">
        <f t="shared" si="15"/>
        <v>103852</v>
      </c>
    </row>
    <row r="82" spans="1:12" s="2" customFormat="1" x14ac:dyDescent="0.3">
      <c r="A82" s="32">
        <v>46034</v>
      </c>
      <c r="B82" s="230" t="s">
        <v>25</v>
      </c>
      <c r="C82" s="244"/>
      <c r="D82" s="236"/>
      <c r="E82" s="231">
        <v>20</v>
      </c>
      <c r="F82" s="54">
        <f t="shared" si="14"/>
        <v>15479</v>
      </c>
      <c r="G82" s="240"/>
      <c r="H82" s="226"/>
      <c r="I82" s="62">
        <v>0</v>
      </c>
      <c r="J82" s="264"/>
      <c r="K82" s="246"/>
      <c r="L82" s="67">
        <f t="shared" si="15"/>
        <v>103852</v>
      </c>
    </row>
    <row r="83" spans="1:12" s="2" customFormat="1" x14ac:dyDescent="0.3">
      <c r="A83" s="32">
        <v>46034</v>
      </c>
      <c r="B83" s="230" t="s">
        <v>80</v>
      </c>
      <c r="C83" s="244"/>
      <c r="D83" s="236"/>
      <c r="E83" s="231">
        <v>30</v>
      </c>
      <c r="F83" s="54">
        <f t="shared" si="14"/>
        <v>15449</v>
      </c>
      <c r="G83" s="240"/>
      <c r="H83" s="228"/>
      <c r="I83" s="62">
        <v>0</v>
      </c>
      <c r="J83" s="264"/>
      <c r="K83" s="246"/>
      <c r="L83" s="67">
        <f t="shared" si="15"/>
        <v>103852</v>
      </c>
    </row>
    <row r="84" spans="1:12" s="2" customFormat="1" x14ac:dyDescent="0.3">
      <c r="A84" s="32">
        <v>46034</v>
      </c>
      <c r="B84" s="230" t="s">
        <v>140</v>
      </c>
      <c r="C84" s="244"/>
      <c r="D84" s="236"/>
      <c r="E84" s="231">
        <v>40</v>
      </c>
      <c r="F84" s="54">
        <f t="shared" si="14"/>
        <v>15409</v>
      </c>
      <c r="G84" s="241"/>
      <c r="H84" s="226"/>
      <c r="I84" s="62">
        <v>0</v>
      </c>
      <c r="J84" s="233"/>
      <c r="K84" s="246"/>
      <c r="L84" s="67">
        <f t="shared" si="15"/>
        <v>103852</v>
      </c>
    </row>
    <row r="85" spans="1:12" s="2" customFormat="1" x14ac:dyDescent="0.3">
      <c r="A85" s="32">
        <v>46034</v>
      </c>
      <c r="B85" s="222" t="s">
        <v>23</v>
      </c>
      <c r="C85" s="244"/>
      <c r="D85" s="236"/>
      <c r="E85" s="231">
        <v>4500</v>
      </c>
      <c r="F85" s="54">
        <f t="shared" si="14"/>
        <v>10909</v>
      </c>
      <c r="G85" s="240"/>
      <c r="H85" s="226"/>
      <c r="I85" s="62">
        <v>0</v>
      </c>
      <c r="J85" s="271">
        <v>10350000</v>
      </c>
      <c r="K85" s="246"/>
      <c r="L85" s="67">
        <f t="shared" si="15"/>
        <v>10453852</v>
      </c>
    </row>
    <row r="86" spans="1:12" s="2" customFormat="1" x14ac:dyDescent="0.3">
      <c r="A86" s="32">
        <v>46034</v>
      </c>
      <c r="B86" s="230" t="s">
        <v>141</v>
      </c>
      <c r="C86" s="244"/>
      <c r="D86" s="236"/>
      <c r="E86" s="231"/>
      <c r="F86" s="54">
        <f t="shared" si="14"/>
        <v>10909</v>
      </c>
      <c r="G86" s="240"/>
      <c r="H86" s="226"/>
      <c r="I86" s="62">
        <v>0</v>
      </c>
      <c r="J86" s="271"/>
      <c r="K86" s="246">
        <v>2920000</v>
      </c>
      <c r="L86" s="67">
        <f t="shared" si="15"/>
        <v>7533852</v>
      </c>
    </row>
    <row r="87" spans="1:12" s="2" customFormat="1" x14ac:dyDescent="0.3">
      <c r="A87" s="32">
        <v>46034</v>
      </c>
      <c r="B87" s="230" t="s">
        <v>142</v>
      </c>
      <c r="C87" s="244"/>
      <c r="D87" s="236"/>
      <c r="E87" s="231"/>
      <c r="F87" s="54">
        <f t="shared" si="14"/>
        <v>10909</v>
      </c>
      <c r="G87" s="240"/>
      <c r="H87" s="226"/>
      <c r="I87" s="62">
        <v>0</v>
      </c>
      <c r="J87" s="248"/>
      <c r="K87" s="246">
        <v>2225000</v>
      </c>
      <c r="L87" s="67">
        <f t="shared" si="15"/>
        <v>5308852</v>
      </c>
    </row>
    <row r="88" spans="1:12" s="2" customFormat="1" x14ac:dyDescent="0.3">
      <c r="A88" s="32">
        <v>46034</v>
      </c>
      <c r="B88" s="230" t="s">
        <v>143</v>
      </c>
      <c r="C88" s="244"/>
      <c r="D88" s="236"/>
      <c r="E88" s="231"/>
      <c r="F88" s="54">
        <f t="shared" si="14"/>
        <v>10909</v>
      </c>
      <c r="G88" s="240"/>
      <c r="H88" s="226"/>
      <c r="I88" s="62">
        <v>0</v>
      </c>
      <c r="J88" s="248"/>
      <c r="K88" s="246">
        <v>5150000</v>
      </c>
      <c r="L88" s="67">
        <f t="shared" si="15"/>
        <v>158852</v>
      </c>
    </row>
    <row r="89" spans="1:12" s="2" customFormat="1" x14ac:dyDescent="0.3">
      <c r="A89" s="32">
        <v>46034</v>
      </c>
      <c r="B89" s="230" t="s">
        <v>144</v>
      </c>
      <c r="C89" s="244"/>
      <c r="D89" s="236"/>
      <c r="E89" s="231">
        <v>15</v>
      </c>
      <c r="F89" s="54">
        <f t="shared" si="14"/>
        <v>10894</v>
      </c>
      <c r="G89" s="240"/>
      <c r="H89" s="226"/>
      <c r="I89" s="62">
        <v>0</v>
      </c>
      <c r="J89" s="271"/>
      <c r="K89" s="246"/>
      <c r="L89" s="67">
        <f t="shared" si="15"/>
        <v>158852</v>
      </c>
    </row>
    <row r="90" spans="1:12" s="2" customFormat="1" x14ac:dyDescent="0.3">
      <c r="A90" s="32">
        <v>46035</v>
      </c>
      <c r="B90" s="234" t="s">
        <v>50</v>
      </c>
      <c r="C90" s="244"/>
      <c r="D90" s="236">
        <v>9900</v>
      </c>
      <c r="E90" s="231"/>
      <c r="F90" s="54">
        <f>+F89+C90+D90-E90</f>
        <v>20794</v>
      </c>
      <c r="G90" s="240"/>
      <c r="H90" s="226">
        <v>0</v>
      </c>
      <c r="I90" s="62">
        <v>0</v>
      </c>
      <c r="J90" s="247"/>
      <c r="K90" s="246"/>
      <c r="L90" s="67">
        <f>+L89+J90-K90</f>
        <v>158852</v>
      </c>
    </row>
    <row r="91" spans="1:12" s="2" customFormat="1" x14ac:dyDescent="0.3">
      <c r="A91" s="32">
        <v>46035</v>
      </c>
      <c r="B91" s="230" t="s">
        <v>145</v>
      </c>
      <c r="C91" s="244"/>
      <c r="D91" s="236"/>
      <c r="E91" s="231">
        <v>155</v>
      </c>
      <c r="F91" s="54">
        <f t="shared" ref="F91:F98" si="16">+F90+C91+D91-E91</f>
        <v>20639</v>
      </c>
      <c r="G91" s="241"/>
      <c r="H91" s="226"/>
      <c r="I91" s="62">
        <v>0</v>
      </c>
      <c r="J91" s="229"/>
      <c r="K91" s="246"/>
      <c r="L91" s="67">
        <f t="shared" ref="L91:L98" si="17">+L90+J91-K91</f>
        <v>158852</v>
      </c>
    </row>
    <row r="92" spans="1:12" s="2" customFormat="1" x14ac:dyDescent="0.3">
      <c r="A92" s="32">
        <v>46035</v>
      </c>
      <c r="B92" s="230" t="s">
        <v>70</v>
      </c>
      <c r="C92" s="244"/>
      <c r="D92" s="236"/>
      <c r="E92" s="231">
        <v>60</v>
      </c>
      <c r="F92" s="54">
        <f t="shared" si="16"/>
        <v>20579</v>
      </c>
      <c r="G92" s="240"/>
      <c r="H92" s="228"/>
      <c r="I92" s="62">
        <v>0</v>
      </c>
      <c r="J92" s="130"/>
      <c r="K92" s="246"/>
      <c r="L92" s="67">
        <f t="shared" si="17"/>
        <v>158852</v>
      </c>
    </row>
    <row r="93" spans="1:12" s="2" customFormat="1" x14ac:dyDescent="0.3">
      <c r="A93" s="32">
        <v>46035</v>
      </c>
      <c r="B93" s="230" t="s">
        <v>28</v>
      </c>
      <c r="C93" s="244"/>
      <c r="D93" s="236"/>
      <c r="E93" s="231">
        <v>50</v>
      </c>
      <c r="F93" s="54">
        <f t="shared" si="16"/>
        <v>20529</v>
      </c>
      <c r="G93" s="240"/>
      <c r="H93" s="226"/>
      <c r="I93" s="62">
        <v>0</v>
      </c>
      <c r="J93" s="229"/>
      <c r="K93" s="246"/>
      <c r="L93" s="67">
        <f t="shared" si="17"/>
        <v>158852</v>
      </c>
    </row>
    <row r="94" spans="1:12" s="2" customFormat="1" x14ac:dyDescent="0.3">
      <c r="A94" s="32">
        <v>46035</v>
      </c>
      <c r="B94" s="232" t="s">
        <v>146</v>
      </c>
      <c r="C94" s="244"/>
      <c r="D94" s="236"/>
      <c r="E94" s="83">
        <v>20000</v>
      </c>
      <c r="F94" s="54">
        <f t="shared" si="16"/>
        <v>529</v>
      </c>
      <c r="G94" s="240"/>
      <c r="H94" s="226"/>
      <c r="I94" s="62">
        <v>0</v>
      </c>
      <c r="J94" s="229"/>
      <c r="K94" s="246"/>
      <c r="L94" s="67">
        <f t="shared" si="17"/>
        <v>158852</v>
      </c>
    </row>
    <row r="95" spans="1:12" s="2" customFormat="1" x14ac:dyDescent="0.3">
      <c r="A95" s="32">
        <v>46035</v>
      </c>
      <c r="B95" s="230" t="s">
        <v>30</v>
      </c>
      <c r="C95" s="244"/>
      <c r="D95" s="236"/>
      <c r="E95" s="231">
        <v>50</v>
      </c>
      <c r="F95" s="54">
        <f t="shared" si="16"/>
        <v>479</v>
      </c>
      <c r="G95" s="240"/>
      <c r="H95" s="226"/>
      <c r="I95" s="62">
        <v>0</v>
      </c>
      <c r="J95" s="264"/>
      <c r="K95" s="246"/>
      <c r="L95" s="67">
        <f t="shared" si="17"/>
        <v>158852</v>
      </c>
    </row>
    <row r="96" spans="1:12" s="2" customFormat="1" x14ac:dyDescent="0.3">
      <c r="A96" s="32">
        <v>46035</v>
      </c>
      <c r="B96" s="230" t="s">
        <v>48</v>
      </c>
      <c r="C96" s="244"/>
      <c r="D96" s="236"/>
      <c r="E96" s="231">
        <v>50</v>
      </c>
      <c r="F96" s="54">
        <f t="shared" si="16"/>
        <v>429</v>
      </c>
      <c r="G96" s="240"/>
      <c r="H96" s="228"/>
      <c r="I96" s="62">
        <v>0</v>
      </c>
      <c r="J96" s="264"/>
      <c r="K96" s="246"/>
      <c r="L96" s="67">
        <f t="shared" si="17"/>
        <v>158852</v>
      </c>
    </row>
    <row r="97" spans="1:12" s="2" customFormat="1" x14ac:dyDescent="0.3">
      <c r="A97" s="32">
        <v>46035</v>
      </c>
      <c r="B97" s="230" t="s">
        <v>74</v>
      </c>
      <c r="C97" s="244"/>
      <c r="D97" s="236"/>
      <c r="E97" s="231">
        <v>40</v>
      </c>
      <c r="F97" s="54">
        <f t="shared" si="16"/>
        <v>389</v>
      </c>
      <c r="G97" s="241"/>
      <c r="H97" s="226"/>
      <c r="I97" s="62">
        <v>0</v>
      </c>
      <c r="J97" s="233"/>
      <c r="K97" s="246"/>
      <c r="L97" s="67">
        <f t="shared" si="17"/>
        <v>158852</v>
      </c>
    </row>
    <row r="98" spans="1:12" s="2" customFormat="1" x14ac:dyDescent="0.3">
      <c r="A98" s="32">
        <v>46035</v>
      </c>
      <c r="B98" s="230" t="s">
        <v>63</v>
      </c>
      <c r="C98" s="244"/>
      <c r="D98" s="236"/>
      <c r="E98" s="231">
        <v>315</v>
      </c>
      <c r="F98" s="54">
        <f t="shared" si="16"/>
        <v>74</v>
      </c>
      <c r="G98" s="240"/>
      <c r="H98" s="226"/>
      <c r="I98" s="62">
        <v>0</v>
      </c>
      <c r="J98" s="271"/>
      <c r="K98" s="246"/>
      <c r="L98" s="67">
        <f t="shared" si="17"/>
        <v>158852</v>
      </c>
    </row>
    <row r="99" spans="1:12" s="2" customFormat="1" x14ac:dyDescent="0.3">
      <c r="A99" s="32">
        <v>46036</v>
      </c>
      <c r="B99" s="234" t="s">
        <v>50</v>
      </c>
      <c r="C99" s="244"/>
      <c r="D99" s="236">
        <v>9900</v>
      </c>
      <c r="E99" s="231"/>
      <c r="F99" s="54">
        <f>+F98+C99+D99-E99</f>
        <v>9974</v>
      </c>
      <c r="G99" s="240"/>
      <c r="H99" s="226">
        <v>0</v>
      </c>
      <c r="I99" s="62">
        <f>+I98+G99-H99</f>
        <v>0</v>
      </c>
      <c r="J99" s="247"/>
      <c r="K99" s="246"/>
      <c r="L99" s="67">
        <f>+L98+J99-K99</f>
        <v>158852</v>
      </c>
    </row>
    <row r="100" spans="1:12" s="2" customFormat="1" x14ac:dyDescent="0.3">
      <c r="A100" s="32">
        <v>46036</v>
      </c>
      <c r="B100" s="234" t="s">
        <v>147</v>
      </c>
      <c r="C100" s="244"/>
      <c r="D100" s="236">
        <v>1500</v>
      </c>
      <c r="E100" s="231"/>
      <c r="F100" s="54">
        <f t="shared" ref="F100:F111" si="18">+F99+C100+D100-E100</f>
        <v>11474</v>
      </c>
      <c r="G100" s="241"/>
      <c r="H100" s="226"/>
      <c r="I100" s="62">
        <f t="shared" ref="I100:I164" si="19">+I99+G100-H100</f>
        <v>0</v>
      </c>
      <c r="J100" s="229"/>
      <c r="K100" s="246"/>
      <c r="L100" s="67">
        <f t="shared" ref="L100:L111" si="20">+L99+J100-K100</f>
        <v>158852</v>
      </c>
    </row>
    <row r="101" spans="1:12" s="2" customFormat="1" x14ac:dyDescent="0.3">
      <c r="A101" s="32">
        <v>46036</v>
      </c>
      <c r="B101" s="230" t="s">
        <v>148</v>
      </c>
      <c r="C101" s="244"/>
      <c r="D101" s="236"/>
      <c r="E101" s="231">
        <v>250</v>
      </c>
      <c r="F101" s="54">
        <f t="shared" si="18"/>
        <v>11224</v>
      </c>
      <c r="G101" s="240"/>
      <c r="H101" s="228"/>
      <c r="I101" s="62">
        <f t="shared" si="19"/>
        <v>0</v>
      </c>
      <c r="J101" s="130"/>
      <c r="K101" s="246"/>
      <c r="L101" s="67">
        <f t="shared" si="20"/>
        <v>158852</v>
      </c>
    </row>
    <row r="102" spans="1:12" s="2" customFormat="1" x14ac:dyDescent="0.3">
      <c r="A102" s="32">
        <v>46036</v>
      </c>
      <c r="B102" s="230" t="s">
        <v>149</v>
      </c>
      <c r="C102" s="244"/>
      <c r="D102" s="236"/>
      <c r="E102" s="231">
        <v>75</v>
      </c>
      <c r="F102" s="54">
        <f t="shared" si="18"/>
        <v>11149</v>
      </c>
      <c r="G102" s="240"/>
      <c r="H102" s="226"/>
      <c r="I102" s="62">
        <f t="shared" si="19"/>
        <v>0</v>
      </c>
      <c r="J102" s="229"/>
      <c r="K102" s="246"/>
      <c r="L102" s="67">
        <f t="shared" si="20"/>
        <v>158852</v>
      </c>
    </row>
    <row r="103" spans="1:12" s="2" customFormat="1" x14ac:dyDescent="0.3">
      <c r="A103" s="32">
        <v>46036</v>
      </c>
      <c r="B103" s="230" t="s">
        <v>150</v>
      </c>
      <c r="C103" s="244"/>
      <c r="D103" s="236"/>
      <c r="E103" s="231">
        <v>316</v>
      </c>
      <c r="F103" s="54">
        <f t="shared" si="18"/>
        <v>10833</v>
      </c>
      <c r="G103" s="240"/>
      <c r="H103" s="226"/>
      <c r="I103" s="62">
        <f t="shared" si="19"/>
        <v>0</v>
      </c>
      <c r="J103" s="229"/>
      <c r="K103" s="246"/>
      <c r="L103" s="67">
        <f t="shared" si="20"/>
        <v>158852</v>
      </c>
    </row>
    <row r="104" spans="1:12" s="2" customFormat="1" x14ac:dyDescent="0.3">
      <c r="A104" s="32">
        <v>46036</v>
      </c>
      <c r="B104" s="230" t="s">
        <v>151</v>
      </c>
      <c r="C104" s="244"/>
      <c r="D104" s="236"/>
      <c r="E104" s="231">
        <v>160</v>
      </c>
      <c r="F104" s="54">
        <f t="shared" si="18"/>
        <v>10673</v>
      </c>
      <c r="G104" s="240"/>
      <c r="H104" s="226"/>
      <c r="I104" s="62">
        <f t="shared" si="19"/>
        <v>0</v>
      </c>
      <c r="J104" s="264"/>
      <c r="K104" s="246"/>
      <c r="L104" s="67">
        <f t="shared" si="20"/>
        <v>158852</v>
      </c>
    </row>
    <row r="105" spans="1:12" s="2" customFormat="1" x14ac:dyDescent="0.3">
      <c r="A105" s="32">
        <v>46036</v>
      </c>
      <c r="B105" s="230" t="s">
        <v>29</v>
      </c>
      <c r="C105" s="244"/>
      <c r="D105" s="236"/>
      <c r="E105" s="231">
        <v>133</v>
      </c>
      <c r="F105" s="54">
        <f t="shared" si="18"/>
        <v>10540</v>
      </c>
      <c r="G105" s="240"/>
      <c r="H105" s="228"/>
      <c r="I105" s="62">
        <f t="shared" si="19"/>
        <v>0</v>
      </c>
      <c r="J105" s="264"/>
      <c r="K105" s="246"/>
      <c r="L105" s="67">
        <f t="shared" si="20"/>
        <v>158852</v>
      </c>
    </row>
    <row r="106" spans="1:12" s="2" customFormat="1" x14ac:dyDescent="0.3">
      <c r="A106" s="32">
        <v>46036</v>
      </c>
      <c r="B106" s="220" t="s">
        <v>152</v>
      </c>
      <c r="C106" s="244"/>
      <c r="D106" s="236"/>
      <c r="E106" s="231">
        <v>100</v>
      </c>
      <c r="F106" s="54">
        <f t="shared" si="18"/>
        <v>10440</v>
      </c>
      <c r="G106" s="241"/>
      <c r="H106" s="226"/>
      <c r="I106" s="62">
        <f t="shared" si="19"/>
        <v>0</v>
      </c>
      <c r="J106" s="233"/>
      <c r="K106" s="246"/>
      <c r="L106" s="67">
        <f t="shared" si="20"/>
        <v>158852</v>
      </c>
    </row>
    <row r="107" spans="1:12" s="2" customFormat="1" x14ac:dyDescent="0.3">
      <c r="A107" s="32">
        <v>46036</v>
      </c>
      <c r="B107" s="230" t="s">
        <v>79</v>
      </c>
      <c r="C107" s="244"/>
      <c r="D107" s="236"/>
      <c r="E107" s="231">
        <v>151</v>
      </c>
      <c r="F107" s="54">
        <f t="shared" si="18"/>
        <v>10289</v>
      </c>
      <c r="G107" s="240"/>
      <c r="H107" s="226"/>
      <c r="I107" s="62">
        <f t="shared" si="19"/>
        <v>0</v>
      </c>
      <c r="J107" s="271"/>
      <c r="K107" s="246"/>
      <c r="L107" s="67">
        <f t="shared" si="20"/>
        <v>158852</v>
      </c>
    </row>
    <row r="108" spans="1:12" s="2" customFormat="1" x14ac:dyDescent="0.3">
      <c r="A108" s="32">
        <v>46036</v>
      </c>
      <c r="B108" s="222" t="s">
        <v>23</v>
      </c>
      <c r="C108" s="244"/>
      <c r="D108" s="236"/>
      <c r="E108" s="231">
        <v>100</v>
      </c>
      <c r="F108" s="54">
        <f t="shared" si="18"/>
        <v>10189</v>
      </c>
      <c r="G108" s="240"/>
      <c r="H108" s="226"/>
      <c r="I108" s="62">
        <f t="shared" si="19"/>
        <v>0</v>
      </c>
      <c r="J108" s="271">
        <v>225000</v>
      </c>
      <c r="K108" s="246"/>
      <c r="L108" s="67">
        <f t="shared" si="20"/>
        <v>383852</v>
      </c>
    </row>
    <row r="109" spans="1:12" s="2" customFormat="1" x14ac:dyDescent="0.3">
      <c r="A109" s="32">
        <v>46036</v>
      </c>
      <c r="B109" s="230" t="s">
        <v>153</v>
      </c>
      <c r="C109" s="244"/>
      <c r="D109" s="236"/>
      <c r="E109" s="231"/>
      <c r="F109" s="54">
        <f t="shared" si="18"/>
        <v>10189</v>
      </c>
      <c r="G109" s="240"/>
      <c r="H109" s="226"/>
      <c r="I109" s="62">
        <f t="shared" si="19"/>
        <v>0</v>
      </c>
      <c r="J109" s="248"/>
      <c r="K109" s="246">
        <v>240000</v>
      </c>
      <c r="L109" s="67">
        <f t="shared" si="20"/>
        <v>143852</v>
      </c>
    </row>
    <row r="110" spans="1:12" s="2" customFormat="1" x14ac:dyDescent="0.3">
      <c r="A110" s="32">
        <v>46036</v>
      </c>
      <c r="B110" s="230" t="s">
        <v>154</v>
      </c>
      <c r="C110" s="244"/>
      <c r="D110" s="236"/>
      <c r="E110" s="231">
        <v>20</v>
      </c>
      <c r="F110" s="54">
        <f t="shared" si="18"/>
        <v>10169</v>
      </c>
      <c r="G110" s="240"/>
      <c r="H110" s="226"/>
      <c r="I110" s="62">
        <f t="shared" si="19"/>
        <v>0</v>
      </c>
      <c r="J110" s="248"/>
      <c r="K110" s="246"/>
      <c r="L110" s="67">
        <f t="shared" si="20"/>
        <v>143852</v>
      </c>
    </row>
    <row r="111" spans="1:12" s="2" customFormat="1" x14ac:dyDescent="0.3">
      <c r="A111" s="32">
        <v>46036</v>
      </c>
      <c r="B111" s="234" t="s">
        <v>155</v>
      </c>
      <c r="C111" s="244"/>
      <c r="D111" s="236"/>
      <c r="E111" s="231"/>
      <c r="F111" s="54">
        <f t="shared" si="18"/>
        <v>10169</v>
      </c>
      <c r="G111" s="240">
        <v>2700</v>
      </c>
      <c r="H111" s="226"/>
      <c r="I111" s="62">
        <f t="shared" si="19"/>
        <v>2700</v>
      </c>
      <c r="J111" s="271"/>
      <c r="K111" s="246"/>
      <c r="L111" s="67">
        <f t="shared" si="20"/>
        <v>143852</v>
      </c>
    </row>
    <row r="112" spans="1:12" s="2" customFormat="1" x14ac:dyDescent="0.3">
      <c r="A112" s="32">
        <v>46037</v>
      </c>
      <c r="B112" s="234" t="s">
        <v>50</v>
      </c>
      <c r="C112" s="244"/>
      <c r="D112" s="236">
        <v>9900</v>
      </c>
      <c r="E112" s="231"/>
      <c r="F112" s="54">
        <f>+F111+C112+D112-E112</f>
        <v>20069</v>
      </c>
      <c r="G112" s="240"/>
      <c r="H112" s="226">
        <v>0</v>
      </c>
      <c r="I112" s="62">
        <f t="shared" si="19"/>
        <v>2700</v>
      </c>
      <c r="J112" s="247"/>
      <c r="K112" s="246"/>
      <c r="L112" s="67">
        <f>+L111+J112-K112</f>
        <v>143852</v>
      </c>
    </row>
    <row r="113" spans="1:12" s="2" customFormat="1" x14ac:dyDescent="0.3">
      <c r="A113" s="32">
        <v>46037</v>
      </c>
      <c r="B113" s="234" t="s">
        <v>147</v>
      </c>
      <c r="C113" s="244"/>
      <c r="D113" s="236">
        <v>1500</v>
      </c>
      <c r="E113" s="231"/>
      <c r="F113" s="54">
        <f t="shared" ref="F113:F131" si="21">+F112+C113+D113-E113</f>
        <v>21569</v>
      </c>
      <c r="G113" s="241"/>
      <c r="H113" s="226"/>
      <c r="I113" s="62">
        <f t="shared" si="19"/>
        <v>2700</v>
      </c>
      <c r="J113" s="229"/>
      <c r="K113" s="246"/>
      <c r="L113" s="67">
        <f t="shared" ref="L113:L131" si="22">+L112+J113-K113</f>
        <v>143852</v>
      </c>
    </row>
    <row r="114" spans="1:12" s="2" customFormat="1" x14ac:dyDescent="0.3">
      <c r="A114" s="32">
        <v>46037</v>
      </c>
      <c r="B114" s="234" t="s">
        <v>156</v>
      </c>
      <c r="C114" s="244"/>
      <c r="D114" s="236"/>
      <c r="E114" s="231"/>
      <c r="F114" s="54">
        <f t="shared" si="21"/>
        <v>21569</v>
      </c>
      <c r="G114" s="241">
        <v>1600</v>
      </c>
      <c r="H114" s="226"/>
      <c r="I114" s="62">
        <f t="shared" si="19"/>
        <v>4300</v>
      </c>
      <c r="J114" s="130"/>
      <c r="K114" s="246"/>
      <c r="L114" s="67">
        <f t="shared" si="22"/>
        <v>143852</v>
      </c>
    </row>
    <row r="115" spans="1:12" s="2" customFormat="1" x14ac:dyDescent="0.3">
      <c r="A115" s="32">
        <v>46037</v>
      </c>
      <c r="B115" s="222" t="s">
        <v>26</v>
      </c>
      <c r="C115" s="244"/>
      <c r="D115" s="236"/>
      <c r="E115" s="231"/>
      <c r="F115" s="54">
        <f t="shared" si="21"/>
        <v>21569</v>
      </c>
      <c r="G115" s="241"/>
      <c r="H115" s="280">
        <v>4300</v>
      </c>
      <c r="I115" s="62">
        <f t="shared" si="19"/>
        <v>0</v>
      </c>
      <c r="J115" s="229"/>
      <c r="K115" s="246"/>
      <c r="L115" s="67">
        <f t="shared" si="22"/>
        <v>143852</v>
      </c>
    </row>
    <row r="116" spans="1:12" s="2" customFormat="1" x14ac:dyDescent="0.3">
      <c r="A116" s="32">
        <v>46037</v>
      </c>
      <c r="B116" s="230" t="s">
        <v>39</v>
      </c>
      <c r="C116" s="244"/>
      <c r="D116" s="236"/>
      <c r="E116" s="231">
        <v>250</v>
      </c>
      <c r="F116" s="54">
        <f t="shared" si="21"/>
        <v>21319</v>
      </c>
      <c r="G116" s="240"/>
      <c r="H116" s="226"/>
      <c r="I116" s="62">
        <f t="shared" si="19"/>
        <v>0</v>
      </c>
      <c r="J116" s="229"/>
      <c r="K116" s="246"/>
      <c r="L116" s="67">
        <f t="shared" si="22"/>
        <v>143852</v>
      </c>
    </row>
    <row r="117" spans="1:12" s="2" customFormat="1" x14ac:dyDescent="0.3">
      <c r="A117" s="32">
        <v>46037</v>
      </c>
      <c r="B117" s="230" t="s">
        <v>40</v>
      </c>
      <c r="C117" s="244"/>
      <c r="D117" s="236"/>
      <c r="E117" s="231">
        <v>300</v>
      </c>
      <c r="F117" s="54">
        <f t="shared" si="21"/>
        <v>21019</v>
      </c>
      <c r="G117" s="240"/>
      <c r="H117" s="226"/>
      <c r="I117" s="62">
        <f t="shared" si="19"/>
        <v>0</v>
      </c>
      <c r="J117" s="264"/>
      <c r="K117" s="246"/>
      <c r="L117" s="67">
        <f t="shared" si="22"/>
        <v>143852</v>
      </c>
    </row>
    <row r="118" spans="1:12" s="2" customFormat="1" x14ac:dyDescent="0.3">
      <c r="A118" s="32">
        <v>46037</v>
      </c>
      <c r="B118" s="230" t="s">
        <v>157</v>
      </c>
      <c r="C118" s="244"/>
      <c r="D118" s="236"/>
      <c r="E118" s="231">
        <v>110</v>
      </c>
      <c r="F118" s="54">
        <f t="shared" si="21"/>
        <v>20909</v>
      </c>
      <c r="G118" s="240"/>
      <c r="H118" s="228"/>
      <c r="I118" s="62">
        <f t="shared" si="19"/>
        <v>0</v>
      </c>
      <c r="J118" s="264"/>
      <c r="K118" s="246"/>
      <c r="L118" s="67">
        <f t="shared" si="22"/>
        <v>143852</v>
      </c>
    </row>
    <row r="119" spans="1:12" s="2" customFormat="1" x14ac:dyDescent="0.3">
      <c r="A119" s="32">
        <v>46037</v>
      </c>
      <c r="B119" s="230" t="s">
        <v>158</v>
      </c>
      <c r="C119" s="244"/>
      <c r="D119" s="236"/>
      <c r="E119" s="231">
        <v>140</v>
      </c>
      <c r="F119" s="54">
        <f t="shared" si="21"/>
        <v>20769</v>
      </c>
      <c r="G119" s="241"/>
      <c r="H119" s="226"/>
      <c r="I119" s="62">
        <f t="shared" si="19"/>
        <v>0</v>
      </c>
      <c r="J119" s="233"/>
      <c r="K119" s="246"/>
      <c r="L119" s="67">
        <f t="shared" si="22"/>
        <v>143852</v>
      </c>
    </row>
    <row r="120" spans="1:12" s="2" customFormat="1" x14ac:dyDescent="0.3">
      <c r="A120" s="32">
        <v>46037</v>
      </c>
      <c r="B120" s="230" t="s">
        <v>159</v>
      </c>
      <c r="C120" s="244"/>
      <c r="D120" s="236"/>
      <c r="E120" s="231">
        <v>170</v>
      </c>
      <c r="F120" s="54">
        <f t="shared" si="21"/>
        <v>20599</v>
      </c>
      <c r="G120" s="240"/>
      <c r="H120" s="226"/>
      <c r="I120" s="62">
        <f t="shared" si="19"/>
        <v>0</v>
      </c>
      <c r="J120" s="271"/>
      <c r="K120" s="246"/>
      <c r="L120" s="67">
        <f t="shared" si="22"/>
        <v>143852</v>
      </c>
    </row>
    <row r="121" spans="1:12" s="2" customFormat="1" x14ac:dyDescent="0.3">
      <c r="A121" s="32">
        <v>46037</v>
      </c>
      <c r="B121" s="230" t="s">
        <v>160</v>
      </c>
      <c r="C121" s="244"/>
      <c r="D121" s="236"/>
      <c r="E121" s="231">
        <v>190</v>
      </c>
      <c r="F121" s="54">
        <f t="shared" si="21"/>
        <v>20409</v>
      </c>
      <c r="G121" s="240"/>
      <c r="H121" s="226"/>
      <c r="I121" s="62">
        <f t="shared" si="19"/>
        <v>0</v>
      </c>
      <c r="J121" s="271"/>
      <c r="K121" s="246"/>
      <c r="L121" s="67">
        <f t="shared" si="22"/>
        <v>143852</v>
      </c>
    </row>
    <row r="122" spans="1:12" s="2" customFormat="1" x14ac:dyDescent="0.3">
      <c r="A122" s="32">
        <v>46037</v>
      </c>
      <c r="B122" s="230" t="s">
        <v>161</v>
      </c>
      <c r="C122" s="244"/>
      <c r="D122" s="236"/>
      <c r="E122" s="231">
        <v>245</v>
      </c>
      <c r="F122" s="54">
        <f t="shared" si="21"/>
        <v>20164</v>
      </c>
      <c r="G122" s="240"/>
      <c r="H122" s="226"/>
      <c r="I122" s="62">
        <f t="shared" si="19"/>
        <v>0</v>
      </c>
      <c r="J122" s="248"/>
      <c r="K122" s="246"/>
      <c r="L122" s="67">
        <f t="shared" si="22"/>
        <v>143852</v>
      </c>
    </row>
    <row r="123" spans="1:12" s="2" customFormat="1" x14ac:dyDescent="0.3">
      <c r="A123" s="32">
        <v>46037</v>
      </c>
      <c r="B123" s="230" t="s">
        <v>59</v>
      </c>
      <c r="C123" s="244"/>
      <c r="D123" s="236"/>
      <c r="E123" s="231">
        <v>60</v>
      </c>
      <c r="F123" s="54">
        <f t="shared" si="21"/>
        <v>20104</v>
      </c>
      <c r="G123" s="240"/>
      <c r="H123" s="226"/>
      <c r="I123" s="62">
        <f t="shared" si="19"/>
        <v>0</v>
      </c>
      <c r="J123" s="248"/>
      <c r="K123" s="246"/>
      <c r="L123" s="67">
        <f t="shared" si="22"/>
        <v>143852</v>
      </c>
    </row>
    <row r="124" spans="1:12" s="2" customFormat="1" x14ac:dyDescent="0.3">
      <c r="A124" s="32">
        <v>46037</v>
      </c>
      <c r="B124" s="230" t="s">
        <v>162</v>
      </c>
      <c r="C124" s="244"/>
      <c r="D124" s="236"/>
      <c r="E124" s="231"/>
      <c r="F124" s="54">
        <f t="shared" si="21"/>
        <v>20104</v>
      </c>
      <c r="G124" s="241"/>
      <c r="H124" s="226"/>
      <c r="I124" s="62">
        <f t="shared" si="19"/>
        <v>0</v>
      </c>
      <c r="J124" s="271"/>
      <c r="K124" s="246">
        <v>20000</v>
      </c>
      <c r="L124" s="67">
        <f t="shared" si="22"/>
        <v>123852</v>
      </c>
    </row>
    <row r="125" spans="1:12" s="2" customFormat="1" x14ac:dyDescent="0.3">
      <c r="A125" s="32">
        <v>46037</v>
      </c>
      <c r="B125" s="230" t="s">
        <v>55</v>
      </c>
      <c r="C125" s="244"/>
      <c r="D125" s="236"/>
      <c r="E125" s="231"/>
      <c r="F125" s="54">
        <f t="shared" si="21"/>
        <v>20104</v>
      </c>
      <c r="G125" s="241"/>
      <c r="H125" s="226"/>
      <c r="I125" s="62">
        <f t="shared" si="19"/>
        <v>0</v>
      </c>
      <c r="J125" s="248"/>
      <c r="K125" s="246">
        <v>10000</v>
      </c>
      <c r="L125" s="67">
        <f t="shared" si="22"/>
        <v>113852</v>
      </c>
    </row>
    <row r="126" spans="1:12" s="2" customFormat="1" x14ac:dyDescent="0.3">
      <c r="A126" s="32">
        <v>46037</v>
      </c>
      <c r="B126" s="230" t="s">
        <v>163</v>
      </c>
      <c r="C126" s="244"/>
      <c r="D126" s="236"/>
      <c r="E126" s="231">
        <v>200</v>
      </c>
      <c r="F126" s="54">
        <f t="shared" si="21"/>
        <v>19904</v>
      </c>
      <c r="G126" s="242"/>
      <c r="H126" s="227"/>
      <c r="I126" s="62">
        <f t="shared" si="19"/>
        <v>0</v>
      </c>
      <c r="J126" s="65"/>
      <c r="K126" s="246"/>
      <c r="L126" s="67">
        <f t="shared" si="22"/>
        <v>113852</v>
      </c>
    </row>
    <row r="127" spans="1:12" s="2" customFormat="1" x14ac:dyDescent="0.3">
      <c r="A127" s="32">
        <v>46037</v>
      </c>
      <c r="B127" s="222" t="s">
        <v>23</v>
      </c>
      <c r="C127" s="239"/>
      <c r="D127" s="236"/>
      <c r="E127" s="231">
        <v>100</v>
      </c>
      <c r="F127" s="54">
        <f t="shared" si="21"/>
        <v>19804</v>
      </c>
      <c r="G127" s="243"/>
      <c r="H127" s="227"/>
      <c r="I127" s="62">
        <f t="shared" si="19"/>
        <v>0</v>
      </c>
      <c r="J127" s="264">
        <v>220000</v>
      </c>
      <c r="K127" s="246"/>
      <c r="L127" s="67">
        <f t="shared" si="22"/>
        <v>333852</v>
      </c>
    </row>
    <row r="128" spans="1:12" s="2" customFormat="1" x14ac:dyDescent="0.3">
      <c r="A128" s="32">
        <v>46037</v>
      </c>
      <c r="B128" s="230" t="s">
        <v>164</v>
      </c>
      <c r="C128" s="244"/>
      <c r="D128" s="236"/>
      <c r="E128" s="231"/>
      <c r="F128" s="54">
        <f t="shared" si="21"/>
        <v>19804</v>
      </c>
      <c r="G128" s="223"/>
      <c r="H128" s="221"/>
      <c r="I128" s="62">
        <f t="shared" si="19"/>
        <v>0</v>
      </c>
      <c r="J128" s="271"/>
      <c r="K128" s="246">
        <v>308500</v>
      </c>
      <c r="L128" s="67">
        <f t="shared" si="22"/>
        <v>25352</v>
      </c>
    </row>
    <row r="129" spans="1:12" s="2" customFormat="1" x14ac:dyDescent="0.3">
      <c r="A129" s="32">
        <v>46037</v>
      </c>
      <c r="B129" s="230" t="s">
        <v>165</v>
      </c>
      <c r="C129" s="244"/>
      <c r="D129" s="236"/>
      <c r="E129" s="231">
        <v>15</v>
      </c>
      <c r="F129" s="54">
        <f t="shared" si="21"/>
        <v>19789</v>
      </c>
      <c r="G129" s="223"/>
      <c r="H129" s="227"/>
      <c r="I129" s="62">
        <f t="shared" si="19"/>
        <v>0</v>
      </c>
      <c r="J129" s="271"/>
      <c r="K129" s="246"/>
      <c r="L129" s="67">
        <f t="shared" si="22"/>
        <v>25352</v>
      </c>
    </row>
    <row r="130" spans="1:12" s="2" customFormat="1" x14ac:dyDescent="0.3">
      <c r="A130" s="32">
        <v>46037</v>
      </c>
      <c r="B130" s="230" t="s">
        <v>166</v>
      </c>
      <c r="C130" s="244"/>
      <c r="D130" s="236"/>
      <c r="E130" s="231">
        <v>100</v>
      </c>
      <c r="F130" s="54">
        <f t="shared" si="21"/>
        <v>19689</v>
      </c>
      <c r="G130" s="223"/>
      <c r="H130" s="227"/>
      <c r="I130" s="62">
        <f t="shared" si="19"/>
        <v>0</v>
      </c>
      <c r="J130" s="229"/>
      <c r="K130" s="246"/>
      <c r="L130" s="67">
        <f t="shared" si="22"/>
        <v>25352</v>
      </c>
    </row>
    <row r="131" spans="1:12" s="2" customFormat="1" x14ac:dyDescent="0.3">
      <c r="A131" s="32">
        <v>46037</v>
      </c>
      <c r="B131" s="230" t="s">
        <v>167</v>
      </c>
      <c r="C131" s="244"/>
      <c r="D131" s="236"/>
      <c r="E131" s="231">
        <v>50</v>
      </c>
      <c r="F131" s="54">
        <f t="shared" si="21"/>
        <v>19639</v>
      </c>
      <c r="G131" s="223"/>
      <c r="H131" s="227"/>
      <c r="I131" s="62">
        <f t="shared" si="19"/>
        <v>0</v>
      </c>
      <c r="J131" s="65"/>
      <c r="K131" s="246"/>
      <c r="L131" s="67">
        <f t="shared" si="22"/>
        <v>25352</v>
      </c>
    </row>
    <row r="132" spans="1:12" s="2" customFormat="1" x14ac:dyDescent="0.3">
      <c r="A132" s="32">
        <v>46039</v>
      </c>
      <c r="B132" s="230" t="s">
        <v>168</v>
      </c>
      <c r="C132" s="244"/>
      <c r="D132" s="236"/>
      <c r="E132" s="231">
        <v>969</v>
      </c>
      <c r="F132" s="54">
        <f>+F131+C132+D132-E132</f>
        <v>18670</v>
      </c>
      <c r="G132" s="240"/>
      <c r="H132" s="226">
        <v>0</v>
      </c>
      <c r="I132" s="62">
        <f t="shared" si="19"/>
        <v>0</v>
      </c>
      <c r="J132" s="247"/>
      <c r="K132" s="246"/>
      <c r="L132" s="67">
        <f>+L131+J132-K132</f>
        <v>25352</v>
      </c>
    </row>
    <row r="133" spans="1:12" s="2" customFormat="1" x14ac:dyDescent="0.3">
      <c r="A133" s="32">
        <v>46042</v>
      </c>
      <c r="B133" s="230" t="s">
        <v>93</v>
      </c>
      <c r="C133" s="244"/>
      <c r="D133" s="236"/>
      <c r="E133" s="231">
        <v>60</v>
      </c>
      <c r="F133" s="54">
        <f>+F132+C133+D133-E133</f>
        <v>18610</v>
      </c>
      <c r="G133" s="240"/>
      <c r="H133" s="226">
        <v>0</v>
      </c>
      <c r="I133" s="62">
        <f t="shared" si="19"/>
        <v>0</v>
      </c>
      <c r="J133" s="247"/>
      <c r="K133" s="246"/>
      <c r="L133" s="67">
        <f>+L132+J133-K133</f>
        <v>25352</v>
      </c>
    </row>
    <row r="134" spans="1:12" s="2" customFormat="1" x14ac:dyDescent="0.3">
      <c r="A134" s="32">
        <v>46042</v>
      </c>
      <c r="B134" s="230" t="s">
        <v>169</v>
      </c>
      <c r="C134" s="244"/>
      <c r="D134" s="236"/>
      <c r="E134" s="231">
        <v>50</v>
      </c>
      <c r="F134" s="54">
        <f t="shared" ref="F134:F148" si="23">+F133+C134+D134-E134</f>
        <v>18560</v>
      </c>
      <c r="G134" s="241"/>
      <c r="H134" s="226"/>
      <c r="I134" s="62">
        <f t="shared" si="19"/>
        <v>0</v>
      </c>
      <c r="J134" s="229"/>
      <c r="K134" s="246"/>
      <c r="L134" s="67">
        <f t="shared" ref="L134:L147" si="24">+L133+J134-K134</f>
        <v>25352</v>
      </c>
    </row>
    <row r="135" spans="1:12" s="2" customFormat="1" x14ac:dyDescent="0.3">
      <c r="A135" s="32">
        <v>46042</v>
      </c>
      <c r="B135" s="230" t="s">
        <v>62</v>
      </c>
      <c r="C135" s="244"/>
      <c r="D135" s="236"/>
      <c r="E135" s="231">
        <v>50</v>
      </c>
      <c r="F135" s="54">
        <f t="shared" si="23"/>
        <v>18510</v>
      </c>
      <c r="G135" s="241"/>
      <c r="H135" s="226"/>
      <c r="I135" s="62">
        <f t="shared" si="19"/>
        <v>0</v>
      </c>
      <c r="J135" s="130"/>
      <c r="K135" s="246"/>
      <c r="L135" s="67">
        <f t="shared" si="24"/>
        <v>25352</v>
      </c>
    </row>
    <row r="136" spans="1:12" s="2" customFormat="1" x14ac:dyDescent="0.3">
      <c r="A136" s="32">
        <v>46042</v>
      </c>
      <c r="B136" s="230" t="s">
        <v>20</v>
      </c>
      <c r="C136" s="244"/>
      <c r="D136" s="236"/>
      <c r="E136" s="231">
        <v>100</v>
      </c>
      <c r="F136" s="54">
        <f t="shared" si="23"/>
        <v>18410</v>
      </c>
      <c r="G136" s="241"/>
      <c r="H136" s="280"/>
      <c r="I136" s="62">
        <f t="shared" si="19"/>
        <v>0</v>
      </c>
      <c r="J136" s="229"/>
      <c r="K136" s="246"/>
      <c r="L136" s="67">
        <f t="shared" si="24"/>
        <v>25352</v>
      </c>
    </row>
    <row r="137" spans="1:12" s="2" customFormat="1" x14ac:dyDescent="0.3">
      <c r="A137" s="32">
        <v>46042</v>
      </c>
      <c r="B137" s="230" t="s">
        <v>170</v>
      </c>
      <c r="C137" s="244"/>
      <c r="D137" s="236"/>
      <c r="E137" s="231">
        <v>140</v>
      </c>
      <c r="F137" s="54">
        <f t="shared" si="23"/>
        <v>18270</v>
      </c>
      <c r="G137" s="240"/>
      <c r="H137" s="226"/>
      <c r="I137" s="62">
        <f t="shared" si="19"/>
        <v>0</v>
      </c>
      <c r="J137" s="229"/>
      <c r="K137" s="246"/>
      <c r="L137" s="67">
        <f t="shared" si="24"/>
        <v>25352</v>
      </c>
    </row>
    <row r="138" spans="1:12" s="2" customFormat="1" x14ac:dyDescent="0.3">
      <c r="A138" s="32">
        <v>46042</v>
      </c>
      <c r="B138" s="232" t="s">
        <v>171</v>
      </c>
      <c r="C138" s="244"/>
      <c r="D138" s="236"/>
      <c r="E138" s="231">
        <v>15000</v>
      </c>
      <c r="F138" s="54">
        <f t="shared" si="23"/>
        <v>3270</v>
      </c>
      <c r="G138" s="240"/>
      <c r="H138" s="226"/>
      <c r="I138" s="62">
        <f t="shared" si="19"/>
        <v>0</v>
      </c>
      <c r="J138" s="264"/>
      <c r="K138" s="246"/>
      <c r="L138" s="67">
        <f t="shared" si="24"/>
        <v>25352</v>
      </c>
    </row>
    <row r="139" spans="1:12" s="2" customFormat="1" x14ac:dyDescent="0.3">
      <c r="A139" s="32">
        <v>46042</v>
      </c>
      <c r="B139" s="230" t="s">
        <v>56</v>
      </c>
      <c r="C139" s="244"/>
      <c r="D139" s="236"/>
      <c r="E139" s="231">
        <v>451</v>
      </c>
      <c r="F139" s="54">
        <f t="shared" si="23"/>
        <v>2819</v>
      </c>
      <c r="G139" s="240"/>
      <c r="H139" s="228"/>
      <c r="I139" s="62">
        <f t="shared" si="19"/>
        <v>0</v>
      </c>
      <c r="J139" s="264"/>
      <c r="K139" s="246"/>
      <c r="L139" s="67">
        <f t="shared" si="24"/>
        <v>25352</v>
      </c>
    </row>
    <row r="140" spans="1:12" s="2" customFormat="1" x14ac:dyDescent="0.3">
      <c r="A140" s="32">
        <v>46042</v>
      </c>
      <c r="B140" s="230" t="s">
        <v>172</v>
      </c>
      <c r="C140" s="244"/>
      <c r="D140" s="236"/>
      <c r="E140" s="231">
        <v>147</v>
      </c>
      <c r="F140" s="54">
        <f t="shared" si="23"/>
        <v>2672</v>
      </c>
      <c r="G140" s="241"/>
      <c r="H140" s="226"/>
      <c r="I140" s="62">
        <f t="shared" si="19"/>
        <v>0</v>
      </c>
      <c r="J140" s="233"/>
      <c r="K140" s="246"/>
      <c r="L140" s="67">
        <f t="shared" si="24"/>
        <v>25352</v>
      </c>
    </row>
    <row r="141" spans="1:12" s="2" customFormat="1" x14ac:dyDescent="0.3">
      <c r="A141" s="32">
        <v>46042</v>
      </c>
      <c r="B141" s="230" t="s">
        <v>91</v>
      </c>
      <c r="C141" s="244"/>
      <c r="D141" s="236"/>
      <c r="E141" s="231">
        <v>80</v>
      </c>
      <c r="F141" s="54">
        <f t="shared" si="23"/>
        <v>2592</v>
      </c>
      <c r="G141" s="240"/>
      <c r="H141" s="226"/>
      <c r="I141" s="62">
        <f t="shared" si="19"/>
        <v>0</v>
      </c>
      <c r="J141" s="271"/>
      <c r="K141" s="246"/>
      <c r="L141" s="67">
        <f t="shared" si="24"/>
        <v>25352</v>
      </c>
    </row>
    <row r="142" spans="1:12" s="2" customFormat="1" x14ac:dyDescent="0.3">
      <c r="A142" s="32">
        <v>46042</v>
      </c>
      <c r="B142" s="230" t="s">
        <v>25</v>
      </c>
      <c r="C142" s="244"/>
      <c r="D142" s="236"/>
      <c r="E142" s="231">
        <v>20</v>
      </c>
      <c r="F142" s="54">
        <f t="shared" si="23"/>
        <v>2572</v>
      </c>
      <c r="G142" s="240"/>
      <c r="H142" s="226"/>
      <c r="I142" s="62">
        <f t="shared" si="19"/>
        <v>0</v>
      </c>
      <c r="J142" s="271"/>
      <c r="K142" s="246"/>
      <c r="L142" s="67">
        <f t="shared" si="24"/>
        <v>25352</v>
      </c>
    </row>
    <row r="143" spans="1:12" s="2" customFormat="1" x14ac:dyDescent="0.3">
      <c r="A143" s="32">
        <v>46042</v>
      </c>
      <c r="B143" s="230" t="s">
        <v>80</v>
      </c>
      <c r="C143" s="244"/>
      <c r="D143" s="236"/>
      <c r="E143" s="231">
        <v>30</v>
      </c>
      <c r="F143" s="54">
        <f t="shared" si="23"/>
        <v>2542</v>
      </c>
      <c r="G143" s="240"/>
      <c r="H143" s="226"/>
      <c r="I143" s="62">
        <f t="shared" si="19"/>
        <v>0</v>
      </c>
      <c r="J143" s="248"/>
      <c r="K143" s="246"/>
      <c r="L143" s="67">
        <f t="shared" si="24"/>
        <v>25352</v>
      </c>
    </row>
    <row r="144" spans="1:12" s="2" customFormat="1" x14ac:dyDescent="0.3">
      <c r="A144" s="32">
        <v>46042</v>
      </c>
      <c r="B144" s="232" t="s">
        <v>173</v>
      </c>
      <c r="C144" s="244"/>
      <c r="D144" s="236"/>
      <c r="E144" s="231">
        <v>1500</v>
      </c>
      <c r="F144" s="54">
        <f t="shared" si="23"/>
        <v>1042</v>
      </c>
      <c r="G144" s="240"/>
      <c r="H144" s="226"/>
      <c r="I144" s="62">
        <f t="shared" si="19"/>
        <v>0</v>
      </c>
      <c r="J144" s="248"/>
      <c r="K144" s="246"/>
      <c r="L144" s="67">
        <f t="shared" si="24"/>
        <v>25352</v>
      </c>
    </row>
    <row r="145" spans="1:12" s="2" customFormat="1" x14ac:dyDescent="0.3">
      <c r="A145" s="32">
        <v>46042</v>
      </c>
      <c r="B145" s="230" t="s">
        <v>174</v>
      </c>
      <c r="C145" s="244"/>
      <c r="D145" s="236"/>
      <c r="E145" s="231">
        <v>100</v>
      </c>
      <c r="F145" s="54">
        <f t="shared" si="23"/>
        <v>942</v>
      </c>
      <c r="G145" s="241"/>
      <c r="H145" s="226"/>
      <c r="I145" s="62">
        <f t="shared" si="19"/>
        <v>0</v>
      </c>
      <c r="J145" s="271"/>
      <c r="K145" s="246"/>
      <c r="L145" s="67">
        <f t="shared" si="24"/>
        <v>25352</v>
      </c>
    </row>
    <row r="146" spans="1:12" s="2" customFormat="1" x14ac:dyDescent="0.3">
      <c r="A146" s="32">
        <v>46042</v>
      </c>
      <c r="B146" s="230" t="s">
        <v>175</v>
      </c>
      <c r="C146" s="244"/>
      <c r="D146" s="236"/>
      <c r="E146" s="231"/>
      <c r="F146" s="54">
        <f t="shared" si="23"/>
        <v>942</v>
      </c>
      <c r="G146" s="241"/>
      <c r="H146" s="226"/>
      <c r="I146" s="62">
        <f t="shared" si="19"/>
        <v>0</v>
      </c>
      <c r="J146" s="248"/>
      <c r="K146" s="246">
        <v>5000</v>
      </c>
      <c r="L146" s="67">
        <f t="shared" si="24"/>
        <v>20352</v>
      </c>
    </row>
    <row r="147" spans="1:12" s="225" customFormat="1" x14ac:dyDescent="0.3">
      <c r="A147" s="32">
        <v>46042</v>
      </c>
      <c r="B147" s="230" t="s">
        <v>46</v>
      </c>
      <c r="C147" s="244"/>
      <c r="D147" s="236"/>
      <c r="E147" s="231">
        <v>100</v>
      </c>
      <c r="F147" s="54">
        <f t="shared" si="23"/>
        <v>842</v>
      </c>
      <c r="G147" s="242"/>
      <c r="H147" s="227"/>
      <c r="I147" s="62">
        <f t="shared" si="19"/>
        <v>0</v>
      </c>
      <c r="J147" s="65"/>
      <c r="K147" s="246"/>
      <c r="L147" s="67">
        <f t="shared" si="24"/>
        <v>20352</v>
      </c>
    </row>
    <row r="148" spans="1:12" s="2" customFormat="1" x14ac:dyDescent="0.3">
      <c r="A148" s="32">
        <v>46043</v>
      </c>
      <c r="B148" s="230" t="s">
        <v>176</v>
      </c>
      <c r="C148" s="244"/>
      <c r="D148" s="236"/>
      <c r="E148" s="231">
        <v>100</v>
      </c>
      <c r="F148" s="54">
        <f t="shared" si="23"/>
        <v>742</v>
      </c>
      <c r="G148" s="240"/>
      <c r="H148" s="226">
        <v>0</v>
      </c>
      <c r="I148" s="62">
        <f>+I146+G148-H148</f>
        <v>0</v>
      </c>
      <c r="J148" s="247"/>
      <c r="K148" s="246"/>
      <c r="L148" s="67">
        <f>+L146+J148-K148</f>
        <v>20352</v>
      </c>
    </row>
    <row r="149" spans="1:12" s="2" customFormat="1" x14ac:dyDescent="0.3">
      <c r="A149" s="32">
        <v>46043</v>
      </c>
      <c r="B149" s="230" t="s">
        <v>177</v>
      </c>
      <c r="C149" s="244"/>
      <c r="D149" s="236"/>
      <c r="E149" s="231">
        <v>60</v>
      </c>
      <c r="F149" s="54">
        <f t="shared" ref="F149:F155" si="25">+F148+C149+D149-E149</f>
        <v>682</v>
      </c>
      <c r="G149" s="241"/>
      <c r="H149" s="226"/>
      <c r="I149" s="62">
        <f t="shared" si="19"/>
        <v>0</v>
      </c>
      <c r="J149" s="229"/>
      <c r="K149" s="246"/>
      <c r="L149" s="67">
        <f t="shared" ref="L149:L155" si="26">+L148+J149-K149</f>
        <v>20352</v>
      </c>
    </row>
    <row r="150" spans="1:12" s="2" customFormat="1" x14ac:dyDescent="0.3">
      <c r="A150" s="32">
        <v>46043</v>
      </c>
      <c r="B150" s="230" t="s">
        <v>178</v>
      </c>
      <c r="C150" s="244"/>
      <c r="D150" s="236"/>
      <c r="E150" s="231"/>
      <c r="F150" s="54">
        <f t="shared" si="25"/>
        <v>682</v>
      </c>
      <c r="G150" s="241"/>
      <c r="H150" s="226"/>
      <c r="I150" s="62">
        <f t="shared" si="19"/>
        <v>0</v>
      </c>
      <c r="J150" s="130"/>
      <c r="K150" s="246">
        <v>10000</v>
      </c>
      <c r="L150" s="67">
        <f t="shared" si="26"/>
        <v>10352</v>
      </c>
    </row>
    <row r="151" spans="1:12" s="2" customFormat="1" x14ac:dyDescent="0.3">
      <c r="A151" s="32">
        <v>46043</v>
      </c>
      <c r="B151" s="230" t="s">
        <v>179</v>
      </c>
      <c r="C151" s="244"/>
      <c r="D151" s="236"/>
      <c r="E151" s="231">
        <v>150</v>
      </c>
      <c r="F151" s="54">
        <f t="shared" si="25"/>
        <v>532</v>
      </c>
      <c r="G151" s="241"/>
      <c r="H151" s="280"/>
      <c r="I151" s="62">
        <f t="shared" si="19"/>
        <v>0</v>
      </c>
      <c r="J151" s="229"/>
      <c r="K151" s="246"/>
      <c r="L151" s="67">
        <f t="shared" si="26"/>
        <v>10352</v>
      </c>
    </row>
    <row r="152" spans="1:12" s="2" customFormat="1" x14ac:dyDescent="0.3">
      <c r="A152" s="32">
        <v>46043</v>
      </c>
      <c r="B152" s="230" t="s">
        <v>180</v>
      </c>
      <c r="C152" s="244"/>
      <c r="D152" s="236"/>
      <c r="E152" s="231">
        <v>164</v>
      </c>
      <c r="F152" s="54">
        <f t="shared" si="25"/>
        <v>368</v>
      </c>
      <c r="G152" s="240"/>
      <c r="H152" s="226"/>
      <c r="I152" s="62">
        <f t="shared" si="19"/>
        <v>0</v>
      </c>
      <c r="J152" s="229"/>
      <c r="K152" s="246"/>
      <c r="L152" s="67">
        <f t="shared" si="26"/>
        <v>10352</v>
      </c>
    </row>
    <row r="153" spans="1:12" s="2" customFormat="1" x14ac:dyDescent="0.3">
      <c r="A153" s="32">
        <v>46043</v>
      </c>
      <c r="B153" s="230" t="s">
        <v>181</v>
      </c>
      <c r="C153" s="244"/>
      <c r="D153" s="236"/>
      <c r="E153" s="231">
        <v>70</v>
      </c>
      <c r="F153" s="54">
        <f t="shared" si="25"/>
        <v>298</v>
      </c>
      <c r="G153" s="240"/>
      <c r="H153" s="226"/>
      <c r="I153" s="62">
        <f t="shared" si="19"/>
        <v>0</v>
      </c>
      <c r="J153" s="264"/>
      <c r="K153" s="246"/>
      <c r="L153" s="67">
        <f t="shared" si="26"/>
        <v>10352</v>
      </c>
    </row>
    <row r="154" spans="1:12" s="2" customFormat="1" x14ac:dyDescent="0.3">
      <c r="A154" s="32">
        <v>46043</v>
      </c>
      <c r="B154" s="230" t="s">
        <v>182</v>
      </c>
      <c r="C154" s="244"/>
      <c r="D154" s="236"/>
      <c r="E154" s="231">
        <v>25</v>
      </c>
      <c r="F154" s="54">
        <f t="shared" si="25"/>
        <v>273</v>
      </c>
      <c r="G154" s="240"/>
      <c r="H154" s="228"/>
      <c r="I154" s="62">
        <f t="shared" si="19"/>
        <v>0</v>
      </c>
      <c r="J154" s="264"/>
      <c r="K154" s="246"/>
      <c r="L154" s="67">
        <f t="shared" si="26"/>
        <v>10352</v>
      </c>
    </row>
    <row r="155" spans="1:12" s="2" customFormat="1" x14ac:dyDescent="0.3">
      <c r="A155" s="32">
        <v>46043</v>
      </c>
      <c r="B155" s="230" t="s">
        <v>183</v>
      </c>
      <c r="C155" s="244"/>
      <c r="D155" s="236"/>
      <c r="E155" s="231">
        <v>20</v>
      </c>
      <c r="F155" s="54">
        <f t="shared" si="25"/>
        <v>253</v>
      </c>
      <c r="G155" s="241"/>
      <c r="H155" s="226"/>
      <c r="I155" s="62">
        <f t="shared" si="19"/>
        <v>0</v>
      </c>
      <c r="J155" s="233"/>
      <c r="K155" s="246"/>
      <c r="L155" s="67">
        <f t="shared" si="26"/>
        <v>10352</v>
      </c>
    </row>
    <row r="156" spans="1:12" s="2" customFormat="1" x14ac:dyDescent="0.3">
      <c r="A156" s="32">
        <v>46044</v>
      </c>
      <c r="B156" s="230" t="s">
        <v>58</v>
      </c>
      <c r="C156" s="244"/>
      <c r="D156" s="236"/>
      <c r="E156" s="231">
        <v>50</v>
      </c>
      <c r="F156" s="54">
        <f>+F155+C156+D156-E156</f>
        <v>203</v>
      </c>
      <c r="G156" s="240"/>
      <c r="H156" s="226">
        <v>0</v>
      </c>
      <c r="I156" s="62">
        <f t="shared" si="19"/>
        <v>0</v>
      </c>
      <c r="J156" s="247"/>
      <c r="K156" s="246"/>
      <c r="L156" s="67">
        <f>+L155+J156-K156</f>
        <v>10352</v>
      </c>
    </row>
    <row r="157" spans="1:12" s="2" customFormat="1" x14ac:dyDescent="0.3">
      <c r="A157" s="32">
        <v>46044</v>
      </c>
      <c r="B157" s="234" t="s">
        <v>147</v>
      </c>
      <c r="C157" s="244"/>
      <c r="D157" s="236">
        <v>1500</v>
      </c>
      <c r="E157" s="231"/>
      <c r="F157" s="54">
        <f t="shared" ref="F157:F172" si="27">+F156+C157+D157-E157</f>
        <v>1703</v>
      </c>
      <c r="G157" s="241"/>
      <c r="H157" s="226"/>
      <c r="I157" s="62">
        <f t="shared" si="19"/>
        <v>0</v>
      </c>
      <c r="J157" s="229"/>
      <c r="K157" s="246"/>
      <c r="L157" s="67">
        <f t="shared" ref="L157:L172" si="28">+L156+J157-K157</f>
        <v>10352</v>
      </c>
    </row>
    <row r="158" spans="1:12" s="2" customFormat="1" x14ac:dyDescent="0.3">
      <c r="A158" s="32">
        <v>46044</v>
      </c>
      <c r="B158" s="230" t="s">
        <v>184</v>
      </c>
      <c r="C158" s="244"/>
      <c r="D158" s="236"/>
      <c r="E158" s="231">
        <v>12</v>
      </c>
      <c r="F158" s="54">
        <f t="shared" si="27"/>
        <v>1691</v>
      </c>
      <c r="G158" s="241"/>
      <c r="H158" s="226"/>
      <c r="I158" s="62">
        <f t="shared" si="19"/>
        <v>0</v>
      </c>
      <c r="J158" s="130"/>
      <c r="K158" s="246"/>
      <c r="L158" s="67">
        <f t="shared" si="28"/>
        <v>10352</v>
      </c>
    </row>
    <row r="159" spans="1:12" s="2" customFormat="1" x14ac:dyDescent="0.3">
      <c r="A159" s="32">
        <v>46044</v>
      </c>
      <c r="B159" s="230" t="s">
        <v>185</v>
      </c>
      <c r="C159" s="244"/>
      <c r="D159" s="236"/>
      <c r="E159" s="231">
        <v>345</v>
      </c>
      <c r="F159" s="54">
        <f t="shared" si="27"/>
        <v>1346</v>
      </c>
      <c r="G159" s="241"/>
      <c r="H159" s="280"/>
      <c r="I159" s="62">
        <f t="shared" si="19"/>
        <v>0</v>
      </c>
      <c r="J159" s="229"/>
      <c r="K159" s="246"/>
      <c r="L159" s="67">
        <f t="shared" si="28"/>
        <v>10352</v>
      </c>
    </row>
    <row r="160" spans="1:12" s="2" customFormat="1" x14ac:dyDescent="0.3">
      <c r="A160" s="32">
        <v>46044</v>
      </c>
      <c r="B160" s="230" t="s">
        <v>186</v>
      </c>
      <c r="C160" s="244"/>
      <c r="D160" s="236"/>
      <c r="E160" s="231">
        <v>638</v>
      </c>
      <c r="F160" s="54">
        <f t="shared" si="27"/>
        <v>708</v>
      </c>
      <c r="G160" s="240"/>
      <c r="H160" s="226"/>
      <c r="I160" s="62">
        <f t="shared" si="19"/>
        <v>0</v>
      </c>
      <c r="J160" s="229"/>
      <c r="K160" s="246"/>
      <c r="L160" s="67">
        <f t="shared" si="28"/>
        <v>10352</v>
      </c>
    </row>
    <row r="161" spans="1:12" s="2" customFormat="1" x14ac:dyDescent="0.3">
      <c r="A161" s="32">
        <v>46044</v>
      </c>
      <c r="B161" s="222" t="s">
        <v>23</v>
      </c>
      <c r="C161" s="244"/>
      <c r="D161" s="236"/>
      <c r="E161" s="231">
        <v>350</v>
      </c>
      <c r="F161" s="54">
        <f t="shared" si="27"/>
        <v>358</v>
      </c>
      <c r="G161" s="240"/>
      <c r="H161" s="226"/>
      <c r="I161" s="62">
        <f t="shared" si="19"/>
        <v>0</v>
      </c>
      <c r="J161" s="271">
        <v>787500</v>
      </c>
      <c r="K161" s="246"/>
      <c r="L161" s="67">
        <f t="shared" si="28"/>
        <v>797852</v>
      </c>
    </row>
    <row r="162" spans="1:12" s="2" customFormat="1" x14ac:dyDescent="0.3">
      <c r="A162" s="32">
        <v>46044</v>
      </c>
      <c r="B162" s="230" t="s">
        <v>73</v>
      </c>
      <c r="C162" s="244"/>
      <c r="D162" s="236"/>
      <c r="E162" s="231">
        <v>120</v>
      </c>
      <c r="F162" s="54">
        <f t="shared" si="27"/>
        <v>238</v>
      </c>
      <c r="G162" s="240"/>
      <c r="H162" s="228"/>
      <c r="I162" s="62">
        <f t="shared" si="19"/>
        <v>0</v>
      </c>
      <c r="J162" s="264"/>
      <c r="K162" s="246">
        <v>80000</v>
      </c>
      <c r="L162" s="67">
        <f t="shared" si="28"/>
        <v>717852</v>
      </c>
    </row>
    <row r="163" spans="1:12" s="2" customFormat="1" x14ac:dyDescent="0.3">
      <c r="A163" s="32">
        <v>46044</v>
      </c>
      <c r="B163" s="230" t="s">
        <v>187</v>
      </c>
      <c r="C163" s="244"/>
      <c r="D163" s="236"/>
      <c r="E163" s="231"/>
      <c r="F163" s="54">
        <f t="shared" si="27"/>
        <v>238</v>
      </c>
      <c r="G163" s="241"/>
      <c r="H163" s="226"/>
      <c r="I163" s="62">
        <f t="shared" si="19"/>
        <v>0</v>
      </c>
      <c r="J163" s="233"/>
      <c r="K163" s="246">
        <v>30000</v>
      </c>
      <c r="L163" s="67">
        <f t="shared" si="28"/>
        <v>687852</v>
      </c>
    </row>
    <row r="164" spans="1:12" s="2" customFormat="1" x14ac:dyDescent="0.3">
      <c r="A164" s="32">
        <v>46044</v>
      </c>
      <c r="B164" s="230" t="s">
        <v>188</v>
      </c>
      <c r="C164" s="244"/>
      <c r="D164" s="236"/>
      <c r="E164" s="231"/>
      <c r="F164" s="54">
        <f t="shared" si="27"/>
        <v>238</v>
      </c>
      <c r="G164" s="240"/>
      <c r="H164" s="226"/>
      <c r="I164" s="62">
        <f t="shared" si="19"/>
        <v>0</v>
      </c>
      <c r="J164" s="271"/>
      <c r="K164" s="246">
        <v>118000</v>
      </c>
      <c r="L164" s="67">
        <f t="shared" si="28"/>
        <v>569852</v>
      </c>
    </row>
    <row r="165" spans="1:12" s="2" customFormat="1" x14ac:dyDescent="0.3">
      <c r="A165" s="32">
        <v>46044</v>
      </c>
      <c r="B165" s="230" t="s">
        <v>189</v>
      </c>
      <c r="C165" s="244"/>
      <c r="D165" s="236"/>
      <c r="E165" s="231"/>
      <c r="F165" s="54">
        <f t="shared" si="27"/>
        <v>238</v>
      </c>
      <c r="G165" s="240"/>
      <c r="H165" s="226"/>
      <c r="I165" s="62">
        <f t="shared" ref="I165:I228" si="29">+I164+G165-H165</f>
        <v>0</v>
      </c>
      <c r="J165" s="271"/>
      <c r="K165" s="246">
        <v>204000</v>
      </c>
      <c r="L165" s="67">
        <f t="shared" si="28"/>
        <v>365852</v>
      </c>
    </row>
    <row r="166" spans="1:12" s="2" customFormat="1" x14ac:dyDescent="0.3">
      <c r="A166" s="32">
        <v>46044</v>
      </c>
      <c r="B166" s="230" t="s">
        <v>190</v>
      </c>
      <c r="C166" s="244"/>
      <c r="D166" s="236"/>
      <c r="E166" s="231"/>
      <c r="F166" s="54">
        <f t="shared" si="27"/>
        <v>238</v>
      </c>
      <c r="G166" s="240"/>
      <c r="H166" s="226"/>
      <c r="I166" s="62">
        <f t="shared" si="29"/>
        <v>0</v>
      </c>
      <c r="J166" s="248"/>
      <c r="K166" s="246">
        <v>199500</v>
      </c>
      <c r="L166" s="67">
        <f t="shared" si="28"/>
        <v>166352</v>
      </c>
    </row>
    <row r="167" spans="1:12" s="2" customFormat="1" x14ac:dyDescent="0.3">
      <c r="A167" s="32">
        <v>46044</v>
      </c>
      <c r="B167" s="230" t="s">
        <v>191</v>
      </c>
      <c r="C167" s="244"/>
      <c r="D167" s="236"/>
      <c r="E167" s="231"/>
      <c r="F167" s="54">
        <f t="shared" si="27"/>
        <v>238</v>
      </c>
      <c r="G167" s="240"/>
      <c r="H167" s="226"/>
      <c r="I167" s="62">
        <f t="shared" si="29"/>
        <v>0</v>
      </c>
      <c r="J167" s="248"/>
      <c r="K167" s="246">
        <v>120000</v>
      </c>
      <c r="L167" s="67">
        <f t="shared" si="28"/>
        <v>46352</v>
      </c>
    </row>
    <row r="168" spans="1:12" s="2" customFormat="1" x14ac:dyDescent="0.3">
      <c r="A168" s="32">
        <v>46044</v>
      </c>
      <c r="B168" s="230" t="s">
        <v>192</v>
      </c>
      <c r="C168" s="244"/>
      <c r="D168" s="236"/>
      <c r="E168" s="231"/>
      <c r="F168" s="54">
        <f t="shared" si="27"/>
        <v>238</v>
      </c>
      <c r="G168" s="241"/>
      <c r="H168" s="226"/>
      <c r="I168" s="62">
        <f t="shared" si="29"/>
        <v>0</v>
      </c>
      <c r="J168" s="271"/>
      <c r="K168" s="246">
        <v>12500</v>
      </c>
      <c r="L168" s="67">
        <f t="shared" si="28"/>
        <v>33852</v>
      </c>
    </row>
    <row r="169" spans="1:12" s="2" customFormat="1" x14ac:dyDescent="0.3">
      <c r="A169" s="32">
        <v>46044</v>
      </c>
      <c r="B169" s="232" t="s">
        <v>193</v>
      </c>
      <c r="C169" s="244">
        <v>139</v>
      </c>
      <c r="D169" s="236"/>
      <c r="E169" s="231"/>
      <c r="F169" s="54">
        <f t="shared" si="27"/>
        <v>377</v>
      </c>
      <c r="G169" s="241"/>
      <c r="H169" s="226"/>
      <c r="I169" s="62">
        <f t="shared" si="29"/>
        <v>0</v>
      </c>
      <c r="J169" s="248"/>
      <c r="K169" s="246"/>
      <c r="L169" s="67">
        <f t="shared" si="28"/>
        <v>33852</v>
      </c>
    </row>
    <row r="170" spans="1:12" s="2" customFormat="1" x14ac:dyDescent="0.3">
      <c r="A170" s="32">
        <v>46044</v>
      </c>
      <c r="B170" s="232" t="s">
        <v>194</v>
      </c>
      <c r="C170" s="244"/>
      <c r="D170" s="236"/>
      <c r="E170" s="231"/>
      <c r="F170" s="54">
        <f t="shared" si="27"/>
        <v>377</v>
      </c>
      <c r="G170" s="242"/>
      <c r="H170" s="227"/>
      <c r="I170" s="62">
        <f t="shared" si="29"/>
        <v>0</v>
      </c>
      <c r="J170" s="65">
        <v>451000</v>
      </c>
      <c r="K170" s="246"/>
      <c r="L170" s="67">
        <f t="shared" si="28"/>
        <v>484852</v>
      </c>
    </row>
    <row r="171" spans="1:12" s="2" customFormat="1" x14ac:dyDescent="0.3">
      <c r="A171" s="32">
        <v>46044</v>
      </c>
      <c r="B171" s="230" t="s">
        <v>195</v>
      </c>
      <c r="C171" s="239"/>
      <c r="D171" s="236"/>
      <c r="E171" s="231"/>
      <c r="F171" s="54">
        <f t="shared" si="27"/>
        <v>377</v>
      </c>
      <c r="G171" s="243"/>
      <c r="H171" s="227"/>
      <c r="I171" s="62">
        <f t="shared" si="29"/>
        <v>0</v>
      </c>
      <c r="J171" s="264"/>
      <c r="K171" s="246">
        <v>12500</v>
      </c>
      <c r="L171" s="67">
        <f t="shared" si="28"/>
        <v>472352</v>
      </c>
    </row>
    <row r="172" spans="1:12" s="2" customFormat="1" x14ac:dyDescent="0.3">
      <c r="A172" s="32">
        <v>46044</v>
      </c>
      <c r="B172" s="230" t="s">
        <v>196</v>
      </c>
      <c r="C172" s="244"/>
      <c r="D172" s="236"/>
      <c r="E172" s="231">
        <v>200</v>
      </c>
      <c r="F172" s="54">
        <f t="shared" si="27"/>
        <v>177</v>
      </c>
      <c r="G172" s="223"/>
      <c r="H172" s="221"/>
      <c r="I172" s="62">
        <f t="shared" si="29"/>
        <v>0</v>
      </c>
      <c r="J172" s="271"/>
      <c r="K172" s="246"/>
      <c r="L172" s="67">
        <f t="shared" si="28"/>
        <v>472352</v>
      </c>
    </row>
    <row r="173" spans="1:12" s="2" customFormat="1" x14ac:dyDescent="0.3">
      <c r="A173" s="32">
        <v>46045</v>
      </c>
      <c r="B173" s="230" t="s">
        <v>197</v>
      </c>
      <c r="C173" s="244"/>
      <c r="D173" s="236"/>
      <c r="E173" s="231"/>
      <c r="F173" s="54">
        <f>+F172+C173+D173-E173</f>
        <v>177</v>
      </c>
      <c r="G173" s="240"/>
      <c r="H173" s="226">
        <v>0</v>
      </c>
      <c r="I173" s="62">
        <f t="shared" si="29"/>
        <v>0</v>
      </c>
      <c r="J173" s="247"/>
      <c r="K173" s="246">
        <v>10000</v>
      </c>
      <c r="L173" s="67">
        <f>+L172+J173-K173</f>
        <v>462352</v>
      </c>
    </row>
    <row r="174" spans="1:12" s="2" customFormat="1" x14ac:dyDescent="0.3">
      <c r="A174" s="32">
        <v>46045</v>
      </c>
      <c r="B174" s="230" t="s">
        <v>198</v>
      </c>
      <c r="C174" s="244"/>
      <c r="D174" s="236"/>
      <c r="E174" s="231"/>
      <c r="F174" s="54">
        <f t="shared" ref="F174:F191" si="30">+F173+C174+D174-E174</f>
        <v>177</v>
      </c>
      <c r="G174" s="241"/>
      <c r="H174" s="226"/>
      <c r="I174" s="62">
        <f t="shared" si="29"/>
        <v>0</v>
      </c>
      <c r="J174" s="229"/>
      <c r="K174" s="246">
        <v>20000</v>
      </c>
      <c r="L174" s="67">
        <f t="shared" ref="L174:L191" si="31">+L173+J174-K174</f>
        <v>442352</v>
      </c>
    </row>
    <row r="175" spans="1:12" s="2" customFormat="1" x14ac:dyDescent="0.3">
      <c r="A175" s="32">
        <v>46045</v>
      </c>
      <c r="B175" s="230" t="s">
        <v>52</v>
      </c>
      <c r="C175" s="244"/>
      <c r="D175" s="236"/>
      <c r="E175" s="231"/>
      <c r="F175" s="54">
        <f t="shared" si="30"/>
        <v>177</v>
      </c>
      <c r="G175" s="241"/>
      <c r="H175" s="226"/>
      <c r="I175" s="62">
        <f t="shared" si="29"/>
        <v>0</v>
      </c>
      <c r="J175" s="130"/>
      <c r="K175" s="246">
        <v>10000</v>
      </c>
      <c r="L175" s="67">
        <f t="shared" si="31"/>
        <v>432352</v>
      </c>
    </row>
    <row r="176" spans="1:12" s="2" customFormat="1" x14ac:dyDescent="0.3">
      <c r="A176" s="32">
        <v>46045</v>
      </c>
      <c r="B176" s="230" t="s">
        <v>199</v>
      </c>
      <c r="C176" s="244"/>
      <c r="D176" s="236"/>
      <c r="E176" s="231">
        <v>30</v>
      </c>
      <c r="F176" s="54">
        <f t="shared" si="30"/>
        <v>147</v>
      </c>
      <c r="G176" s="241"/>
      <c r="H176" s="280"/>
      <c r="I176" s="62">
        <f t="shared" si="29"/>
        <v>0</v>
      </c>
      <c r="J176" s="229"/>
      <c r="K176" s="246"/>
      <c r="L176" s="67">
        <f t="shared" si="31"/>
        <v>432352</v>
      </c>
    </row>
    <row r="177" spans="1:12" s="2" customFormat="1" x14ac:dyDescent="0.3">
      <c r="A177" s="32">
        <v>46045</v>
      </c>
      <c r="B177" s="230" t="s">
        <v>200</v>
      </c>
      <c r="C177" s="244"/>
      <c r="D177" s="236"/>
      <c r="E177" s="231">
        <v>36</v>
      </c>
      <c r="F177" s="54">
        <f t="shared" si="30"/>
        <v>111</v>
      </c>
      <c r="G177" s="240"/>
      <c r="H177" s="226"/>
      <c r="I177" s="62">
        <f t="shared" si="29"/>
        <v>0</v>
      </c>
      <c r="J177" s="229"/>
      <c r="K177" s="246"/>
      <c r="L177" s="67">
        <f t="shared" si="31"/>
        <v>432352</v>
      </c>
    </row>
    <row r="178" spans="1:12" s="2" customFormat="1" x14ac:dyDescent="0.3">
      <c r="A178" s="32">
        <v>46045</v>
      </c>
      <c r="B178" s="230" t="s">
        <v>201</v>
      </c>
      <c r="C178" s="244"/>
      <c r="D178" s="236"/>
      <c r="E178" s="231">
        <v>41</v>
      </c>
      <c r="F178" s="54">
        <f t="shared" si="30"/>
        <v>70</v>
      </c>
      <c r="G178" s="240"/>
      <c r="H178" s="226"/>
      <c r="I178" s="62">
        <f t="shared" si="29"/>
        <v>0</v>
      </c>
      <c r="J178" s="264"/>
      <c r="K178" s="246"/>
      <c r="L178" s="67">
        <f t="shared" si="31"/>
        <v>432352</v>
      </c>
    </row>
    <row r="179" spans="1:12" s="2" customFormat="1" x14ac:dyDescent="0.3">
      <c r="A179" s="32">
        <v>46045</v>
      </c>
      <c r="B179" s="230" t="s">
        <v>202</v>
      </c>
      <c r="C179" s="244"/>
      <c r="D179" s="236"/>
      <c r="E179" s="231">
        <v>40</v>
      </c>
      <c r="F179" s="54">
        <f t="shared" si="30"/>
        <v>30</v>
      </c>
      <c r="G179" s="240"/>
      <c r="H179" s="228"/>
      <c r="I179" s="62">
        <f t="shared" si="29"/>
        <v>0</v>
      </c>
      <c r="J179" s="264"/>
      <c r="K179" s="246"/>
      <c r="L179" s="67">
        <f t="shared" si="31"/>
        <v>432352</v>
      </c>
    </row>
    <row r="180" spans="1:12" s="2" customFormat="1" x14ac:dyDescent="0.3">
      <c r="A180" s="32">
        <v>46045</v>
      </c>
      <c r="B180" s="220" t="s">
        <v>203</v>
      </c>
      <c r="C180" s="244"/>
      <c r="D180" s="236"/>
      <c r="E180" s="231"/>
      <c r="F180" s="54">
        <f t="shared" si="30"/>
        <v>30</v>
      </c>
      <c r="G180" s="241"/>
      <c r="H180" s="226"/>
      <c r="I180" s="62">
        <f t="shared" si="29"/>
        <v>0</v>
      </c>
      <c r="J180" s="233"/>
      <c r="K180" s="246">
        <v>97000</v>
      </c>
      <c r="L180" s="67">
        <f t="shared" si="31"/>
        <v>335352</v>
      </c>
    </row>
    <row r="181" spans="1:12" s="2" customFormat="1" x14ac:dyDescent="0.3">
      <c r="A181" s="32">
        <v>46045</v>
      </c>
      <c r="B181" s="220" t="s">
        <v>204</v>
      </c>
      <c r="C181" s="244"/>
      <c r="D181" s="236"/>
      <c r="E181" s="231"/>
      <c r="F181" s="54">
        <f t="shared" si="30"/>
        <v>30</v>
      </c>
      <c r="G181" s="240"/>
      <c r="H181" s="226"/>
      <c r="I181" s="62">
        <f t="shared" si="29"/>
        <v>0</v>
      </c>
      <c r="J181" s="271"/>
      <c r="K181" s="246">
        <v>133000</v>
      </c>
      <c r="L181" s="67">
        <f t="shared" si="31"/>
        <v>202352</v>
      </c>
    </row>
    <row r="182" spans="1:12" s="2" customFormat="1" x14ac:dyDescent="0.3">
      <c r="A182" s="32">
        <v>46045</v>
      </c>
      <c r="B182" s="230" t="s">
        <v>205</v>
      </c>
      <c r="C182" s="244"/>
      <c r="D182" s="236"/>
      <c r="E182" s="231"/>
      <c r="F182" s="54">
        <f t="shared" si="30"/>
        <v>30</v>
      </c>
      <c r="G182" s="240"/>
      <c r="H182" s="226"/>
      <c r="I182" s="62">
        <f t="shared" si="29"/>
        <v>0</v>
      </c>
      <c r="J182" s="271"/>
      <c r="K182" s="246">
        <v>35000</v>
      </c>
      <c r="L182" s="67">
        <f t="shared" si="31"/>
        <v>167352</v>
      </c>
    </row>
    <row r="183" spans="1:12" s="2" customFormat="1" x14ac:dyDescent="0.3">
      <c r="A183" s="32">
        <v>46045</v>
      </c>
      <c r="B183" s="230" t="s">
        <v>206</v>
      </c>
      <c r="C183" s="244"/>
      <c r="D183" s="236"/>
      <c r="E183" s="231"/>
      <c r="F183" s="54">
        <f t="shared" si="30"/>
        <v>30</v>
      </c>
      <c r="G183" s="240"/>
      <c r="H183" s="226"/>
      <c r="I183" s="62">
        <f t="shared" si="29"/>
        <v>0</v>
      </c>
      <c r="J183" s="248"/>
      <c r="K183" s="246">
        <v>18500</v>
      </c>
      <c r="L183" s="67">
        <f t="shared" si="31"/>
        <v>148852</v>
      </c>
    </row>
    <row r="184" spans="1:12" s="2" customFormat="1" x14ac:dyDescent="0.3">
      <c r="A184" s="32">
        <v>46045</v>
      </c>
      <c r="B184" s="220" t="s">
        <v>207</v>
      </c>
      <c r="C184" s="244"/>
      <c r="D184" s="236"/>
      <c r="E184" s="231"/>
      <c r="F184" s="54">
        <f t="shared" si="30"/>
        <v>30</v>
      </c>
      <c r="G184" s="240"/>
      <c r="H184" s="226"/>
      <c r="I184" s="62">
        <f t="shared" si="29"/>
        <v>0</v>
      </c>
      <c r="J184" s="248"/>
      <c r="K184" s="246">
        <v>35000</v>
      </c>
      <c r="L184" s="67">
        <f t="shared" si="31"/>
        <v>113852</v>
      </c>
    </row>
    <row r="185" spans="1:12" s="2" customFormat="1" x14ac:dyDescent="0.3">
      <c r="A185" s="32">
        <v>46045</v>
      </c>
      <c r="B185" s="230" t="s">
        <v>208</v>
      </c>
      <c r="C185" s="244"/>
      <c r="D185" s="236"/>
      <c r="E185" s="231"/>
      <c r="F185" s="54">
        <f t="shared" si="30"/>
        <v>30</v>
      </c>
      <c r="G185" s="241"/>
      <c r="H185" s="226"/>
      <c r="I185" s="62">
        <f t="shared" si="29"/>
        <v>0</v>
      </c>
      <c r="J185" s="271"/>
      <c r="K185" s="246">
        <v>73460</v>
      </c>
      <c r="L185" s="67">
        <f t="shared" si="31"/>
        <v>40392</v>
      </c>
    </row>
    <row r="186" spans="1:12" s="2" customFormat="1" x14ac:dyDescent="0.3">
      <c r="A186" s="32">
        <v>46045</v>
      </c>
      <c r="B186" s="230" t="s">
        <v>209</v>
      </c>
      <c r="C186" s="244"/>
      <c r="D186" s="236"/>
      <c r="E186" s="231"/>
      <c r="F186" s="54">
        <f t="shared" si="30"/>
        <v>30</v>
      </c>
      <c r="G186" s="241"/>
      <c r="H186" s="226"/>
      <c r="I186" s="62">
        <f t="shared" si="29"/>
        <v>0</v>
      </c>
      <c r="J186" s="248"/>
      <c r="K186" s="246">
        <v>40000</v>
      </c>
      <c r="L186" s="67">
        <f t="shared" si="31"/>
        <v>392</v>
      </c>
    </row>
    <row r="187" spans="1:12" s="2" customFormat="1" x14ac:dyDescent="0.3">
      <c r="A187" s="32">
        <v>46045</v>
      </c>
      <c r="B187" s="232" t="s">
        <v>210</v>
      </c>
      <c r="C187" s="244">
        <v>9900</v>
      </c>
      <c r="D187" s="236"/>
      <c r="E187" s="231"/>
      <c r="F187" s="54">
        <f t="shared" si="30"/>
        <v>9930</v>
      </c>
      <c r="G187" s="242"/>
      <c r="H187" s="227"/>
      <c r="I187" s="62">
        <f t="shared" si="29"/>
        <v>0</v>
      </c>
      <c r="J187" s="37"/>
      <c r="K187" s="246"/>
      <c r="L187" s="67">
        <f t="shared" si="31"/>
        <v>392</v>
      </c>
    </row>
    <row r="188" spans="1:12" s="2" customFormat="1" x14ac:dyDescent="0.3">
      <c r="A188" s="32">
        <v>46045</v>
      </c>
      <c r="B188" s="232" t="s">
        <v>211</v>
      </c>
      <c r="C188" s="244">
        <v>170</v>
      </c>
      <c r="D188" s="236"/>
      <c r="E188" s="231"/>
      <c r="F188" s="54">
        <f t="shared" si="30"/>
        <v>10100</v>
      </c>
      <c r="G188" s="243"/>
      <c r="H188" s="227"/>
      <c r="I188" s="62">
        <f t="shared" si="29"/>
        <v>0</v>
      </c>
      <c r="J188" s="264"/>
      <c r="K188" s="246"/>
      <c r="L188" s="67">
        <f t="shared" si="31"/>
        <v>392</v>
      </c>
    </row>
    <row r="189" spans="1:12" s="2" customFormat="1" x14ac:dyDescent="0.3">
      <c r="A189" s="32">
        <v>46045</v>
      </c>
      <c r="B189" s="230" t="s">
        <v>82</v>
      </c>
      <c r="C189" s="244"/>
      <c r="D189" s="236"/>
      <c r="E189" s="231">
        <v>40</v>
      </c>
      <c r="F189" s="54">
        <f t="shared" si="30"/>
        <v>10060</v>
      </c>
      <c r="G189" s="223"/>
      <c r="H189" s="221"/>
      <c r="I189" s="62">
        <f t="shared" si="29"/>
        <v>0</v>
      </c>
      <c r="J189" s="271"/>
      <c r="K189" s="246"/>
      <c r="L189" s="67">
        <f t="shared" si="31"/>
        <v>392</v>
      </c>
    </row>
    <row r="190" spans="1:12" s="2" customFormat="1" x14ac:dyDescent="0.3">
      <c r="A190" s="32">
        <v>46045</v>
      </c>
      <c r="B190" s="222" t="s">
        <v>23</v>
      </c>
      <c r="C190" s="244"/>
      <c r="D190" s="236"/>
      <c r="E190" s="231">
        <v>50</v>
      </c>
      <c r="F190" s="54">
        <f t="shared" si="30"/>
        <v>10010</v>
      </c>
      <c r="G190" s="223"/>
      <c r="H190" s="227"/>
      <c r="I190" s="62">
        <f t="shared" si="29"/>
        <v>0</v>
      </c>
      <c r="J190" s="37">
        <v>112500</v>
      </c>
      <c r="K190" s="246"/>
      <c r="L190" s="67">
        <f t="shared" si="31"/>
        <v>112892</v>
      </c>
    </row>
    <row r="191" spans="1:12" s="2" customFormat="1" x14ac:dyDescent="0.3">
      <c r="A191" s="32">
        <v>46045</v>
      </c>
      <c r="B191" s="230" t="s">
        <v>212</v>
      </c>
      <c r="C191" s="239"/>
      <c r="D191" s="236"/>
      <c r="E191" s="231"/>
      <c r="F191" s="54">
        <f t="shared" si="30"/>
        <v>10010</v>
      </c>
      <c r="G191" s="223"/>
      <c r="H191" s="227"/>
      <c r="I191" s="62">
        <f t="shared" si="29"/>
        <v>0</v>
      </c>
      <c r="J191" s="264"/>
      <c r="K191" s="246">
        <v>20000</v>
      </c>
      <c r="L191" s="67">
        <f t="shared" si="31"/>
        <v>92892</v>
      </c>
    </row>
    <row r="192" spans="1:12" s="2" customFormat="1" x14ac:dyDescent="0.3">
      <c r="A192" s="32">
        <v>46048</v>
      </c>
      <c r="B192" s="234" t="s">
        <v>147</v>
      </c>
      <c r="C192" s="244"/>
      <c r="D192" s="236">
        <v>9900</v>
      </c>
      <c r="E192" s="231"/>
      <c r="F192" s="54">
        <f>+F191+C192+D192-E192</f>
        <v>19910</v>
      </c>
      <c r="G192" s="240"/>
      <c r="H192" s="226">
        <v>0</v>
      </c>
      <c r="I192" s="62">
        <f t="shared" si="29"/>
        <v>0</v>
      </c>
      <c r="J192" s="247"/>
      <c r="K192" s="246"/>
      <c r="L192" s="67">
        <f>+L191+J192-K192</f>
        <v>92892</v>
      </c>
    </row>
    <row r="193" spans="1:12" s="2" customFormat="1" x14ac:dyDescent="0.3">
      <c r="A193" s="32">
        <v>46048</v>
      </c>
      <c r="B193" s="230" t="s">
        <v>20</v>
      </c>
      <c r="C193" s="244"/>
      <c r="D193" s="236"/>
      <c r="E193" s="231">
        <v>100</v>
      </c>
      <c r="F193" s="54">
        <f t="shared" ref="F193:F200" si="32">+F192+C193+D193-E193</f>
        <v>19810</v>
      </c>
      <c r="G193" s="241"/>
      <c r="H193" s="226"/>
      <c r="I193" s="62">
        <f t="shared" si="29"/>
        <v>0</v>
      </c>
      <c r="J193" s="229"/>
      <c r="K193" s="246"/>
      <c r="L193" s="67">
        <f t="shared" ref="L193:L200" si="33">+L192+J193-K193</f>
        <v>92892</v>
      </c>
    </row>
    <row r="194" spans="1:12" s="2" customFormat="1" x14ac:dyDescent="0.3">
      <c r="A194" s="32">
        <v>46048</v>
      </c>
      <c r="B194" s="230" t="s">
        <v>70</v>
      </c>
      <c r="C194" s="244"/>
      <c r="D194" s="236"/>
      <c r="E194" s="231">
        <v>50</v>
      </c>
      <c r="F194" s="54">
        <f t="shared" si="32"/>
        <v>19760</v>
      </c>
      <c r="G194" s="241"/>
      <c r="H194" s="226"/>
      <c r="I194" s="62">
        <f t="shared" si="29"/>
        <v>0</v>
      </c>
      <c r="J194" s="130"/>
      <c r="K194" s="246"/>
      <c r="L194" s="67">
        <f t="shared" si="33"/>
        <v>92892</v>
      </c>
    </row>
    <row r="195" spans="1:12" s="2" customFormat="1" x14ac:dyDescent="0.3">
      <c r="A195" s="32">
        <v>46048</v>
      </c>
      <c r="B195" s="230" t="s">
        <v>17</v>
      </c>
      <c r="C195" s="244"/>
      <c r="D195" s="236"/>
      <c r="E195" s="231">
        <v>60</v>
      </c>
      <c r="F195" s="54">
        <f t="shared" si="32"/>
        <v>19700</v>
      </c>
      <c r="G195" s="241"/>
      <c r="H195" s="280"/>
      <c r="I195" s="62">
        <f t="shared" si="29"/>
        <v>0</v>
      </c>
      <c r="J195" s="229"/>
      <c r="K195" s="246"/>
      <c r="L195" s="67">
        <f t="shared" si="33"/>
        <v>92892</v>
      </c>
    </row>
    <row r="196" spans="1:12" s="2" customFormat="1" x14ac:dyDescent="0.3">
      <c r="A196" s="32">
        <v>46048</v>
      </c>
      <c r="B196" s="230" t="s">
        <v>213</v>
      </c>
      <c r="C196" s="244"/>
      <c r="D196" s="236"/>
      <c r="E196" s="231">
        <v>312</v>
      </c>
      <c r="F196" s="54">
        <f t="shared" si="32"/>
        <v>19388</v>
      </c>
      <c r="G196" s="240"/>
      <c r="H196" s="226"/>
      <c r="I196" s="62">
        <f t="shared" si="29"/>
        <v>0</v>
      </c>
      <c r="J196" s="229"/>
      <c r="K196" s="246"/>
      <c r="L196" s="67">
        <f t="shared" si="33"/>
        <v>92892</v>
      </c>
    </row>
    <row r="197" spans="1:12" s="2" customFormat="1" x14ac:dyDescent="0.3">
      <c r="A197" s="32">
        <v>46048</v>
      </c>
      <c r="B197" s="230" t="s">
        <v>214</v>
      </c>
      <c r="C197" s="244"/>
      <c r="D197" s="236"/>
      <c r="E197" s="231">
        <v>100</v>
      </c>
      <c r="F197" s="54">
        <f t="shared" si="32"/>
        <v>19288</v>
      </c>
      <c r="G197" s="240"/>
      <c r="H197" s="226"/>
      <c r="I197" s="62">
        <f t="shared" si="29"/>
        <v>0</v>
      </c>
      <c r="J197" s="264"/>
      <c r="K197" s="246"/>
      <c r="L197" s="67">
        <f t="shared" si="33"/>
        <v>92892</v>
      </c>
    </row>
    <row r="198" spans="1:12" s="2" customFormat="1" x14ac:dyDescent="0.3">
      <c r="A198" s="32">
        <v>46048</v>
      </c>
      <c r="B198" s="230" t="s">
        <v>215</v>
      </c>
      <c r="C198" s="244"/>
      <c r="D198" s="236"/>
      <c r="E198" s="231">
        <v>10</v>
      </c>
      <c r="F198" s="54">
        <f t="shared" si="32"/>
        <v>19278</v>
      </c>
      <c r="G198" s="240"/>
      <c r="H198" s="228"/>
      <c r="I198" s="62">
        <f t="shared" si="29"/>
        <v>0</v>
      </c>
      <c r="J198" s="264"/>
      <c r="K198" s="246"/>
      <c r="L198" s="67">
        <f t="shared" si="33"/>
        <v>92892</v>
      </c>
    </row>
    <row r="199" spans="1:12" s="2" customFormat="1" x14ac:dyDescent="0.3">
      <c r="A199" s="32">
        <v>46048</v>
      </c>
      <c r="B199" s="230" t="s">
        <v>28</v>
      </c>
      <c r="C199" s="244"/>
      <c r="D199" s="236"/>
      <c r="E199" s="231">
        <v>50</v>
      </c>
      <c r="F199" s="54">
        <f t="shared" si="32"/>
        <v>19228</v>
      </c>
      <c r="G199" s="241"/>
      <c r="H199" s="226"/>
      <c r="I199" s="62">
        <f t="shared" si="29"/>
        <v>0</v>
      </c>
      <c r="J199" s="233"/>
      <c r="K199" s="246"/>
      <c r="L199" s="67">
        <f t="shared" si="33"/>
        <v>92892</v>
      </c>
    </row>
    <row r="200" spans="1:12" s="2" customFormat="1" x14ac:dyDescent="0.3">
      <c r="A200" s="32">
        <v>46048</v>
      </c>
      <c r="B200" s="230" t="s">
        <v>216</v>
      </c>
      <c r="C200" s="244"/>
      <c r="D200" s="236"/>
      <c r="E200" s="231">
        <v>800</v>
      </c>
      <c r="F200" s="54">
        <f t="shared" si="32"/>
        <v>18428</v>
      </c>
      <c r="G200" s="240"/>
      <c r="H200" s="226"/>
      <c r="I200" s="62">
        <f t="shared" si="29"/>
        <v>0</v>
      </c>
      <c r="J200" s="271"/>
      <c r="K200" s="246"/>
      <c r="L200" s="67">
        <f t="shared" si="33"/>
        <v>92892</v>
      </c>
    </row>
    <row r="201" spans="1:12" s="2" customFormat="1" x14ac:dyDescent="0.3">
      <c r="A201" s="32">
        <v>46049</v>
      </c>
      <c r="B201" s="230" t="s">
        <v>36</v>
      </c>
      <c r="C201" s="244"/>
      <c r="D201" s="236"/>
      <c r="E201" s="231">
        <v>50</v>
      </c>
      <c r="F201" s="54">
        <f>+F200+C201+D201-E201</f>
        <v>18378</v>
      </c>
      <c r="G201" s="240"/>
      <c r="H201" s="226">
        <v>0</v>
      </c>
      <c r="I201" s="62">
        <f t="shared" si="29"/>
        <v>0</v>
      </c>
      <c r="J201" s="247"/>
      <c r="K201" s="246"/>
      <c r="L201" s="67">
        <f>+L200+J201-K201</f>
        <v>92892</v>
      </c>
    </row>
    <row r="202" spans="1:12" s="2" customFormat="1" x14ac:dyDescent="0.3">
      <c r="A202" s="32">
        <v>46049</v>
      </c>
      <c r="B202" s="230" t="s">
        <v>37</v>
      </c>
      <c r="C202" s="244"/>
      <c r="D202" s="236"/>
      <c r="E202" s="231">
        <v>70</v>
      </c>
      <c r="F202" s="54">
        <f t="shared" ref="F202:F210" si="34">+F201+C202+D202-E202</f>
        <v>18308</v>
      </c>
      <c r="G202" s="241"/>
      <c r="H202" s="226"/>
      <c r="I202" s="62">
        <f t="shared" si="29"/>
        <v>0</v>
      </c>
      <c r="J202" s="229"/>
      <c r="K202" s="246"/>
      <c r="L202" s="67">
        <f t="shared" ref="L202:L210" si="35">+L201+J202-K202</f>
        <v>92892</v>
      </c>
    </row>
    <row r="203" spans="1:12" s="2" customFormat="1" x14ac:dyDescent="0.3">
      <c r="A203" s="32">
        <v>46049</v>
      </c>
      <c r="B203" s="230" t="s">
        <v>78</v>
      </c>
      <c r="C203" s="244"/>
      <c r="D203" s="236"/>
      <c r="E203" s="231">
        <v>60</v>
      </c>
      <c r="F203" s="54">
        <f t="shared" si="34"/>
        <v>18248</v>
      </c>
      <c r="G203" s="241"/>
      <c r="H203" s="226"/>
      <c r="I203" s="62">
        <f t="shared" si="29"/>
        <v>0</v>
      </c>
      <c r="J203" s="130"/>
      <c r="K203" s="246"/>
      <c r="L203" s="67">
        <f t="shared" si="35"/>
        <v>92892</v>
      </c>
    </row>
    <row r="204" spans="1:12" s="2" customFormat="1" x14ac:dyDescent="0.3">
      <c r="A204" s="32">
        <v>46049</v>
      </c>
      <c r="B204" s="222" t="s">
        <v>23</v>
      </c>
      <c r="C204" s="244"/>
      <c r="D204" s="236"/>
      <c r="E204" s="231">
        <v>17500</v>
      </c>
      <c r="F204" s="54">
        <f t="shared" si="34"/>
        <v>748</v>
      </c>
      <c r="G204" s="241"/>
      <c r="H204" s="280"/>
      <c r="I204" s="62">
        <f t="shared" si="29"/>
        <v>0</v>
      </c>
      <c r="J204" s="37">
        <v>39725000</v>
      </c>
      <c r="K204" s="246"/>
      <c r="L204" s="67">
        <f t="shared" si="35"/>
        <v>39817892</v>
      </c>
    </row>
    <row r="205" spans="1:12" s="2" customFormat="1" x14ac:dyDescent="0.3">
      <c r="A205" s="32">
        <v>46049</v>
      </c>
      <c r="B205" s="230" t="s">
        <v>225</v>
      </c>
      <c r="C205" s="244"/>
      <c r="D205" s="236"/>
      <c r="E205" s="231">
        <v>75</v>
      </c>
      <c r="F205" s="54">
        <f t="shared" si="34"/>
        <v>673</v>
      </c>
      <c r="G205" s="240"/>
      <c r="H205" s="226"/>
      <c r="I205" s="62">
        <f t="shared" si="29"/>
        <v>0</v>
      </c>
      <c r="J205" s="229"/>
      <c r="K205" s="246"/>
      <c r="L205" s="67">
        <f t="shared" si="35"/>
        <v>39817892</v>
      </c>
    </row>
    <row r="206" spans="1:12" s="2" customFormat="1" x14ac:dyDescent="0.3">
      <c r="A206" s="32">
        <v>46049</v>
      </c>
      <c r="B206" s="230" t="s">
        <v>226</v>
      </c>
      <c r="C206" s="244"/>
      <c r="D206" s="236"/>
      <c r="E206" s="231">
        <v>140</v>
      </c>
      <c r="F206" s="54">
        <f t="shared" si="34"/>
        <v>533</v>
      </c>
      <c r="G206" s="240"/>
      <c r="H206" s="226"/>
      <c r="I206" s="62">
        <f t="shared" si="29"/>
        <v>0</v>
      </c>
      <c r="J206" s="264"/>
      <c r="K206" s="246"/>
      <c r="L206" s="67">
        <f t="shared" si="35"/>
        <v>39817892</v>
      </c>
    </row>
    <row r="207" spans="1:12" s="2" customFormat="1" x14ac:dyDescent="0.3">
      <c r="A207" s="32">
        <v>46049</v>
      </c>
      <c r="B207" s="230" t="s">
        <v>45</v>
      </c>
      <c r="C207" s="244"/>
      <c r="D207" s="236"/>
      <c r="E207" s="231">
        <v>80</v>
      </c>
      <c r="F207" s="54">
        <f t="shared" si="34"/>
        <v>453</v>
      </c>
      <c r="G207" s="240"/>
      <c r="H207" s="228"/>
      <c r="I207" s="62">
        <f t="shared" si="29"/>
        <v>0</v>
      </c>
      <c r="J207" s="264"/>
      <c r="K207" s="246"/>
      <c r="L207" s="67">
        <f t="shared" si="35"/>
        <v>39817892</v>
      </c>
    </row>
    <row r="208" spans="1:12" s="2" customFormat="1" x14ac:dyDescent="0.3">
      <c r="A208" s="32">
        <v>46049</v>
      </c>
      <c r="B208" s="230" t="s">
        <v>25</v>
      </c>
      <c r="C208" s="244"/>
      <c r="D208" s="236"/>
      <c r="E208" s="231">
        <v>20</v>
      </c>
      <c r="F208" s="54">
        <f t="shared" si="34"/>
        <v>433</v>
      </c>
      <c r="G208" s="241"/>
      <c r="H208" s="226"/>
      <c r="I208" s="62">
        <f t="shared" si="29"/>
        <v>0</v>
      </c>
      <c r="J208" s="233"/>
      <c r="K208" s="246"/>
      <c r="L208" s="67">
        <f t="shared" si="35"/>
        <v>39817892</v>
      </c>
    </row>
    <row r="209" spans="1:12" s="2" customFormat="1" x14ac:dyDescent="0.3">
      <c r="A209" s="32">
        <v>46049</v>
      </c>
      <c r="B209" s="230" t="s">
        <v>80</v>
      </c>
      <c r="C209" s="244"/>
      <c r="D209" s="236"/>
      <c r="E209" s="231">
        <v>30</v>
      </c>
      <c r="F209" s="54">
        <f t="shared" si="34"/>
        <v>403</v>
      </c>
      <c r="G209" s="240"/>
      <c r="H209" s="226"/>
      <c r="I209" s="62">
        <f t="shared" si="29"/>
        <v>0</v>
      </c>
      <c r="J209" s="271"/>
      <c r="K209" s="246"/>
      <c r="L209" s="67">
        <f t="shared" si="35"/>
        <v>39817892</v>
      </c>
    </row>
    <row r="210" spans="1:12" s="2" customFormat="1" x14ac:dyDescent="0.3">
      <c r="A210" s="32">
        <v>46049</v>
      </c>
      <c r="B210" s="232" t="s">
        <v>227</v>
      </c>
      <c r="C210" s="244">
        <v>230</v>
      </c>
      <c r="D210" s="236"/>
      <c r="E210" s="231"/>
      <c r="F210" s="54">
        <f t="shared" si="34"/>
        <v>633</v>
      </c>
      <c r="G210" s="240"/>
      <c r="H210" s="226"/>
      <c r="I210" s="62">
        <f t="shared" si="29"/>
        <v>0</v>
      </c>
      <c r="J210" s="264">
        <v>4500</v>
      </c>
      <c r="K210" s="246"/>
      <c r="L210" s="67">
        <f t="shared" si="35"/>
        <v>39822392</v>
      </c>
    </row>
    <row r="211" spans="1:12" s="2" customFormat="1" x14ac:dyDescent="0.3">
      <c r="A211" s="32">
        <v>46050</v>
      </c>
      <c r="B211" s="230" t="s">
        <v>217</v>
      </c>
      <c r="C211" s="244"/>
      <c r="D211" s="236"/>
      <c r="E211" s="231">
        <v>134</v>
      </c>
      <c r="F211" s="54">
        <f>+F210+C211+D211-E211</f>
        <v>499</v>
      </c>
      <c r="G211" s="240"/>
      <c r="H211" s="226">
        <v>0</v>
      </c>
      <c r="I211" s="62">
        <f t="shared" si="29"/>
        <v>0</v>
      </c>
      <c r="J211" s="247"/>
      <c r="K211" s="246"/>
      <c r="L211" s="67">
        <f>+L210+J211-K211</f>
        <v>39822392</v>
      </c>
    </row>
    <row r="212" spans="1:12" s="2" customFormat="1" x14ac:dyDescent="0.3">
      <c r="A212" s="32">
        <v>46050</v>
      </c>
      <c r="B212" s="230" t="s">
        <v>218</v>
      </c>
      <c r="C212" s="244"/>
      <c r="D212" s="236"/>
      <c r="E212" s="231">
        <v>40</v>
      </c>
      <c r="F212" s="54">
        <f t="shared" ref="F212:F220" si="36">+F211+C212+D212-E212</f>
        <v>459</v>
      </c>
      <c r="G212" s="241"/>
      <c r="H212" s="226"/>
      <c r="I212" s="62">
        <f t="shared" si="29"/>
        <v>0</v>
      </c>
      <c r="J212" s="229"/>
      <c r="K212" s="246"/>
      <c r="L212" s="67">
        <f t="shared" ref="L212:L220" si="37">+L211+J212-K212</f>
        <v>39822392</v>
      </c>
    </row>
    <row r="213" spans="1:12" s="2" customFormat="1" x14ac:dyDescent="0.3">
      <c r="A213" s="32">
        <v>46050</v>
      </c>
      <c r="B213" s="230" t="s">
        <v>219</v>
      </c>
      <c r="C213" s="244"/>
      <c r="D213" s="236"/>
      <c r="E213" s="231">
        <v>40</v>
      </c>
      <c r="F213" s="54">
        <f t="shared" si="36"/>
        <v>419</v>
      </c>
      <c r="G213" s="241"/>
      <c r="H213" s="226"/>
      <c r="I213" s="62">
        <f t="shared" si="29"/>
        <v>0</v>
      </c>
      <c r="J213" s="130"/>
      <c r="K213" s="246"/>
      <c r="L213" s="67">
        <f t="shared" si="37"/>
        <v>39822392</v>
      </c>
    </row>
    <row r="214" spans="1:12" s="2" customFormat="1" x14ac:dyDescent="0.3">
      <c r="A214" s="32">
        <v>46050</v>
      </c>
      <c r="B214" s="230" t="s">
        <v>220</v>
      </c>
      <c r="C214" s="244"/>
      <c r="D214" s="236"/>
      <c r="E214" s="231"/>
      <c r="F214" s="54">
        <f t="shared" si="36"/>
        <v>419</v>
      </c>
      <c r="G214" s="241"/>
      <c r="H214" s="280"/>
      <c r="I214" s="62">
        <f t="shared" si="29"/>
        <v>0</v>
      </c>
      <c r="J214" s="37"/>
      <c r="K214" s="246">
        <v>15000</v>
      </c>
      <c r="L214" s="67">
        <f t="shared" si="37"/>
        <v>39807392</v>
      </c>
    </row>
    <row r="215" spans="1:12" s="2" customFormat="1" x14ac:dyDescent="0.3">
      <c r="A215" s="32">
        <v>46050</v>
      </c>
      <c r="B215" s="230" t="s">
        <v>221</v>
      </c>
      <c r="C215" s="244"/>
      <c r="D215" s="236"/>
      <c r="E215" s="231">
        <v>41</v>
      </c>
      <c r="F215" s="54">
        <f t="shared" si="36"/>
        <v>378</v>
      </c>
      <c r="G215" s="240"/>
      <c r="H215" s="226"/>
      <c r="I215" s="62">
        <f t="shared" si="29"/>
        <v>0</v>
      </c>
      <c r="J215" s="229"/>
      <c r="K215" s="246"/>
      <c r="L215" s="67">
        <f t="shared" si="37"/>
        <v>39807392</v>
      </c>
    </row>
    <row r="216" spans="1:12" s="2" customFormat="1" x14ac:dyDescent="0.3">
      <c r="A216" s="32">
        <v>46050</v>
      </c>
      <c r="B216" s="232" t="s">
        <v>210</v>
      </c>
      <c r="C216" s="244">
        <v>9990</v>
      </c>
      <c r="D216" s="236"/>
      <c r="E216" s="231"/>
      <c r="F216" s="54">
        <f t="shared" si="36"/>
        <v>10368</v>
      </c>
      <c r="G216" s="240"/>
      <c r="H216" s="226"/>
      <c r="I216" s="62">
        <f t="shared" si="29"/>
        <v>0</v>
      </c>
      <c r="J216" s="264"/>
      <c r="K216" s="246"/>
      <c r="L216" s="67">
        <f t="shared" si="37"/>
        <v>39807392</v>
      </c>
    </row>
    <row r="217" spans="1:12" s="2" customFormat="1" x14ac:dyDescent="0.3">
      <c r="A217" s="32">
        <v>46050</v>
      </c>
      <c r="B217" s="230" t="s">
        <v>222</v>
      </c>
      <c r="C217" s="244"/>
      <c r="D217" s="236"/>
      <c r="E217" s="231">
        <v>420</v>
      </c>
      <c r="F217" s="54">
        <f t="shared" si="36"/>
        <v>9948</v>
      </c>
      <c r="G217" s="240"/>
      <c r="H217" s="228"/>
      <c r="I217" s="62">
        <f t="shared" si="29"/>
        <v>0</v>
      </c>
      <c r="J217" s="264"/>
      <c r="K217" s="246"/>
      <c r="L217" s="67">
        <f t="shared" si="37"/>
        <v>39807392</v>
      </c>
    </row>
    <row r="218" spans="1:12" s="2" customFormat="1" x14ac:dyDescent="0.3">
      <c r="A218" s="32">
        <v>46050</v>
      </c>
      <c r="B218" s="222" t="s">
        <v>23</v>
      </c>
      <c r="C218" s="244"/>
      <c r="D218" s="236"/>
      <c r="E218" s="231">
        <v>9500</v>
      </c>
      <c r="F218" s="54">
        <f t="shared" si="36"/>
        <v>448</v>
      </c>
      <c r="G218" s="241"/>
      <c r="H218" s="226"/>
      <c r="I218" s="62">
        <f t="shared" si="29"/>
        <v>0</v>
      </c>
      <c r="J218" s="233">
        <v>21660000</v>
      </c>
      <c r="K218" s="246"/>
      <c r="L218" s="67">
        <f t="shared" si="37"/>
        <v>61467392</v>
      </c>
    </row>
    <row r="219" spans="1:12" s="2" customFormat="1" x14ac:dyDescent="0.3">
      <c r="A219" s="32">
        <v>46050</v>
      </c>
      <c r="B219" s="230" t="s">
        <v>223</v>
      </c>
      <c r="C219" s="244"/>
      <c r="D219" s="236"/>
      <c r="E219" s="231">
        <v>80</v>
      </c>
      <c r="F219" s="54">
        <f t="shared" si="36"/>
        <v>368</v>
      </c>
      <c r="G219" s="240"/>
      <c r="H219" s="226"/>
      <c r="I219" s="62">
        <f t="shared" si="29"/>
        <v>0</v>
      </c>
      <c r="J219" s="271"/>
      <c r="K219" s="246">
        <v>14000</v>
      </c>
      <c r="L219" s="67">
        <f t="shared" si="37"/>
        <v>61453392</v>
      </c>
    </row>
    <row r="220" spans="1:12" s="2" customFormat="1" x14ac:dyDescent="0.3">
      <c r="A220" s="32">
        <v>46050</v>
      </c>
      <c r="B220" s="230" t="s">
        <v>224</v>
      </c>
      <c r="C220" s="244"/>
      <c r="D220" s="236"/>
      <c r="E220" s="231">
        <v>20</v>
      </c>
      <c r="F220" s="54">
        <f t="shared" si="36"/>
        <v>348</v>
      </c>
      <c r="G220" s="240"/>
      <c r="H220" s="226"/>
      <c r="I220" s="62">
        <f t="shared" si="29"/>
        <v>0</v>
      </c>
      <c r="J220" s="264"/>
      <c r="K220" s="246"/>
      <c r="L220" s="67">
        <f t="shared" si="37"/>
        <v>61453392</v>
      </c>
    </row>
    <row r="221" spans="1:12" s="2" customFormat="1" x14ac:dyDescent="0.3">
      <c r="A221" s="32">
        <v>46051</v>
      </c>
      <c r="B221" s="230" t="s">
        <v>44</v>
      </c>
      <c r="C221" s="244"/>
      <c r="D221" s="236"/>
      <c r="E221" s="231">
        <v>200</v>
      </c>
      <c r="F221" s="54">
        <f>+F220+C221+D221-E221</f>
        <v>148</v>
      </c>
      <c r="G221" s="240"/>
      <c r="H221" s="226">
        <v>0</v>
      </c>
      <c r="I221" s="62">
        <f t="shared" si="29"/>
        <v>0</v>
      </c>
      <c r="J221" s="247"/>
      <c r="K221" s="246"/>
      <c r="L221" s="67">
        <f>+L220+J221-K221</f>
        <v>61453392</v>
      </c>
    </row>
    <row r="222" spans="1:12" s="2" customFormat="1" x14ac:dyDescent="0.3">
      <c r="A222" s="32">
        <v>46051</v>
      </c>
      <c r="B222" s="230" t="s">
        <v>228</v>
      </c>
      <c r="C222" s="244"/>
      <c r="D222" s="236"/>
      <c r="E222" s="231">
        <v>50</v>
      </c>
      <c r="F222" s="54">
        <f t="shared" ref="F222:F232" si="38">+F221+C222+D222-E222</f>
        <v>98</v>
      </c>
      <c r="G222" s="241"/>
      <c r="H222" s="226"/>
      <c r="I222" s="62">
        <f t="shared" si="29"/>
        <v>0</v>
      </c>
      <c r="J222" s="229"/>
      <c r="K222" s="246"/>
      <c r="L222" s="67">
        <f t="shared" ref="L222:L231" si="39">+L221+J222-K222</f>
        <v>61453392</v>
      </c>
    </row>
    <row r="223" spans="1:12" s="2" customFormat="1" x14ac:dyDescent="0.3">
      <c r="A223" s="32">
        <v>46051</v>
      </c>
      <c r="B223" s="234" t="s">
        <v>33</v>
      </c>
      <c r="C223" s="244"/>
      <c r="D223" s="236">
        <v>3000</v>
      </c>
      <c r="E223" s="231"/>
      <c r="F223" s="54">
        <f t="shared" si="38"/>
        <v>3098</v>
      </c>
      <c r="G223" s="241"/>
      <c r="H223" s="226"/>
      <c r="I223" s="62">
        <f t="shared" si="29"/>
        <v>0</v>
      </c>
      <c r="J223" s="130"/>
      <c r="K223" s="246"/>
      <c r="L223" s="67">
        <f t="shared" si="39"/>
        <v>61453392</v>
      </c>
    </row>
    <row r="224" spans="1:12" s="2" customFormat="1" x14ac:dyDescent="0.3">
      <c r="A224" s="32">
        <v>46051</v>
      </c>
      <c r="B224" s="222" t="s">
        <v>51</v>
      </c>
      <c r="C224" s="244"/>
      <c r="D224" s="236"/>
      <c r="E224" s="231">
        <v>2750</v>
      </c>
      <c r="F224" s="54">
        <f t="shared" si="38"/>
        <v>348</v>
      </c>
      <c r="G224" s="241"/>
      <c r="H224" s="280"/>
      <c r="I224" s="62">
        <f t="shared" si="29"/>
        <v>0</v>
      </c>
      <c r="J224" s="37">
        <v>6270000</v>
      </c>
      <c r="K224" s="246"/>
      <c r="L224" s="67">
        <f t="shared" si="39"/>
        <v>67723392</v>
      </c>
    </row>
    <row r="225" spans="1:12" s="2" customFormat="1" x14ac:dyDescent="0.3">
      <c r="A225" s="32">
        <v>46051</v>
      </c>
      <c r="B225" s="230" t="s">
        <v>229</v>
      </c>
      <c r="C225" s="244"/>
      <c r="D225" s="236"/>
      <c r="E225" s="231"/>
      <c r="F225" s="54">
        <f t="shared" si="38"/>
        <v>348</v>
      </c>
      <c r="G225" s="240"/>
      <c r="H225" s="226"/>
      <c r="I225" s="62">
        <f t="shared" si="29"/>
        <v>0</v>
      </c>
      <c r="J225" s="229"/>
      <c r="K225" s="246">
        <v>26423353</v>
      </c>
      <c r="L225" s="67">
        <f t="shared" si="39"/>
        <v>41300039</v>
      </c>
    </row>
    <row r="226" spans="1:12" s="2" customFormat="1" x14ac:dyDescent="0.3">
      <c r="A226" s="32">
        <v>46051</v>
      </c>
      <c r="B226" s="230" t="s">
        <v>230</v>
      </c>
      <c r="C226" s="244"/>
      <c r="D226" s="236"/>
      <c r="E226" s="231"/>
      <c r="F226" s="54">
        <f t="shared" si="38"/>
        <v>348</v>
      </c>
      <c r="G226" s="240"/>
      <c r="H226" s="226"/>
      <c r="I226" s="62">
        <f t="shared" si="29"/>
        <v>0</v>
      </c>
      <c r="J226" s="264"/>
      <c r="K226" s="246">
        <v>20510311</v>
      </c>
      <c r="L226" s="67">
        <f t="shared" si="39"/>
        <v>20789728</v>
      </c>
    </row>
    <row r="227" spans="1:12" s="2" customFormat="1" x14ac:dyDescent="0.3">
      <c r="A227" s="32">
        <v>46051</v>
      </c>
      <c r="B227" s="230" t="s">
        <v>231</v>
      </c>
      <c r="C227" s="244"/>
      <c r="D227" s="236"/>
      <c r="E227" s="231"/>
      <c r="F227" s="54">
        <f t="shared" si="38"/>
        <v>348</v>
      </c>
      <c r="G227" s="240"/>
      <c r="H227" s="228"/>
      <c r="I227" s="62">
        <f t="shared" si="29"/>
        <v>0</v>
      </c>
      <c r="J227" s="264"/>
      <c r="K227" s="246">
        <v>20297585</v>
      </c>
      <c r="L227" s="67">
        <f t="shared" si="39"/>
        <v>492143</v>
      </c>
    </row>
    <row r="228" spans="1:12" s="2" customFormat="1" x14ac:dyDescent="0.3">
      <c r="A228" s="32">
        <v>46051</v>
      </c>
      <c r="B228" s="230" t="s">
        <v>232</v>
      </c>
      <c r="C228" s="244"/>
      <c r="D228" s="236"/>
      <c r="E228" s="231"/>
      <c r="F228" s="54">
        <f t="shared" si="38"/>
        <v>348</v>
      </c>
      <c r="G228" s="241"/>
      <c r="H228" s="226"/>
      <c r="I228" s="62">
        <f t="shared" si="29"/>
        <v>0</v>
      </c>
      <c r="J228" s="233"/>
      <c r="K228" s="246">
        <v>405176</v>
      </c>
      <c r="L228" s="67">
        <f t="shared" si="39"/>
        <v>86967</v>
      </c>
    </row>
    <row r="229" spans="1:12" s="2" customFormat="1" x14ac:dyDescent="0.3">
      <c r="A229" s="32">
        <v>46051</v>
      </c>
      <c r="B229" s="232" t="s">
        <v>774</v>
      </c>
      <c r="C229" s="244">
        <v>400</v>
      </c>
      <c r="D229" s="236"/>
      <c r="E229" s="231"/>
      <c r="F229" s="54">
        <f t="shared" si="38"/>
        <v>748</v>
      </c>
      <c r="G229" s="240"/>
      <c r="H229" s="226"/>
      <c r="I229" s="62">
        <f t="shared" ref="I229:I253" si="40">+I228+G229-H229</f>
        <v>0</v>
      </c>
      <c r="J229" s="271"/>
      <c r="K229" s="246"/>
      <c r="L229" s="67">
        <f t="shared" si="39"/>
        <v>86967</v>
      </c>
    </row>
    <row r="230" spans="1:12" s="2" customFormat="1" x14ac:dyDescent="0.3">
      <c r="A230" s="32">
        <v>46051</v>
      </c>
      <c r="B230" s="230" t="s">
        <v>233</v>
      </c>
      <c r="C230" s="244"/>
      <c r="D230" s="236"/>
      <c r="E230" s="231"/>
      <c r="F230" s="54">
        <f t="shared" si="38"/>
        <v>748</v>
      </c>
      <c r="G230" s="240"/>
      <c r="H230" s="226"/>
      <c r="I230" s="62">
        <f t="shared" si="40"/>
        <v>0</v>
      </c>
      <c r="J230" s="264"/>
      <c r="K230" s="246">
        <v>20000</v>
      </c>
      <c r="L230" s="67">
        <f t="shared" si="39"/>
        <v>66967</v>
      </c>
    </row>
    <row r="231" spans="1:12" s="225" customFormat="1" x14ac:dyDescent="0.3">
      <c r="A231" s="32">
        <v>46051</v>
      </c>
      <c r="B231" s="230" t="s">
        <v>196</v>
      </c>
      <c r="C231" s="244"/>
      <c r="D231" s="236"/>
      <c r="E231" s="231">
        <v>200</v>
      </c>
      <c r="F231" s="54">
        <f t="shared" si="38"/>
        <v>548</v>
      </c>
      <c r="G231" s="240"/>
      <c r="H231" s="226"/>
      <c r="I231" s="62">
        <f t="shared" si="40"/>
        <v>0</v>
      </c>
      <c r="J231" s="248"/>
      <c r="K231" s="246"/>
      <c r="L231" s="67">
        <f t="shared" si="39"/>
        <v>66967</v>
      </c>
    </row>
    <row r="232" spans="1:12" s="2" customFormat="1" x14ac:dyDescent="0.3">
      <c r="A232" s="32">
        <v>46052</v>
      </c>
      <c r="B232" s="230" t="s">
        <v>32</v>
      </c>
      <c r="C232" s="244"/>
      <c r="D232" s="236"/>
      <c r="E232" s="231">
        <v>50</v>
      </c>
      <c r="F232" s="54">
        <f t="shared" si="38"/>
        <v>498</v>
      </c>
      <c r="G232" s="240"/>
      <c r="H232" s="226">
        <v>0</v>
      </c>
      <c r="I232" s="62">
        <f>+I230+G232-H232</f>
        <v>0</v>
      </c>
      <c r="J232" s="247"/>
      <c r="K232" s="246"/>
      <c r="L232" s="67">
        <f>+L230+J232-K232</f>
        <v>66967</v>
      </c>
    </row>
    <row r="233" spans="1:12" s="2" customFormat="1" x14ac:dyDescent="0.3">
      <c r="A233" s="32">
        <v>46052</v>
      </c>
      <c r="B233" s="230" t="s">
        <v>234</v>
      </c>
      <c r="C233" s="244"/>
      <c r="D233" s="236"/>
      <c r="E233" s="231">
        <v>50</v>
      </c>
      <c r="F233" s="54">
        <f t="shared" ref="F233:F253" si="41">+F232+C233+D233-E233</f>
        <v>448</v>
      </c>
      <c r="G233" s="241"/>
      <c r="H233" s="226"/>
      <c r="I233" s="62">
        <f t="shared" si="40"/>
        <v>0</v>
      </c>
      <c r="J233" s="229"/>
      <c r="K233" s="246"/>
      <c r="L233" s="67">
        <f t="shared" ref="L233:L253" si="42">+L232+J233-K233</f>
        <v>66967</v>
      </c>
    </row>
    <row r="234" spans="1:12" s="2" customFormat="1" x14ac:dyDescent="0.3">
      <c r="A234" s="32">
        <v>46052</v>
      </c>
      <c r="B234" s="230" t="s">
        <v>27</v>
      </c>
      <c r="C234" s="244"/>
      <c r="D234" s="236"/>
      <c r="E234" s="231">
        <v>40</v>
      </c>
      <c r="F234" s="54">
        <f t="shared" si="41"/>
        <v>408</v>
      </c>
      <c r="G234" s="241"/>
      <c r="H234" s="226"/>
      <c r="I234" s="62">
        <f t="shared" si="40"/>
        <v>0</v>
      </c>
      <c r="J234" s="130"/>
      <c r="K234" s="246"/>
      <c r="L234" s="67">
        <f t="shared" si="42"/>
        <v>66967</v>
      </c>
    </row>
    <row r="235" spans="1:12" s="2" customFormat="1" x14ac:dyDescent="0.3">
      <c r="A235" s="32">
        <v>46052</v>
      </c>
      <c r="B235" s="230" t="s">
        <v>67</v>
      </c>
      <c r="C235" s="244"/>
      <c r="D235" s="236"/>
      <c r="E235" s="231">
        <v>50</v>
      </c>
      <c r="F235" s="54">
        <f t="shared" si="41"/>
        <v>358</v>
      </c>
      <c r="G235" s="241"/>
      <c r="H235" s="280"/>
      <c r="I235" s="62">
        <f t="shared" si="40"/>
        <v>0</v>
      </c>
      <c r="J235" s="37"/>
      <c r="K235" s="246"/>
      <c r="L235" s="67">
        <f t="shared" si="42"/>
        <v>66967</v>
      </c>
    </row>
    <row r="236" spans="1:12" s="2" customFormat="1" x14ac:dyDescent="0.3">
      <c r="A236" s="32">
        <v>46052</v>
      </c>
      <c r="B236" s="234" t="s">
        <v>16</v>
      </c>
      <c r="C236" s="244"/>
      <c r="D236" s="236">
        <v>3000</v>
      </c>
      <c r="E236" s="231"/>
      <c r="F236" s="54">
        <f t="shared" si="41"/>
        <v>3358</v>
      </c>
      <c r="G236" s="240"/>
      <c r="H236" s="226"/>
      <c r="I236" s="62">
        <f t="shared" si="40"/>
        <v>0</v>
      </c>
      <c r="J236" s="229"/>
      <c r="K236" s="246"/>
      <c r="L236" s="67">
        <f t="shared" si="42"/>
        <v>66967</v>
      </c>
    </row>
    <row r="237" spans="1:12" s="2" customFormat="1" x14ac:dyDescent="0.3">
      <c r="A237" s="32">
        <v>46052</v>
      </c>
      <c r="B237" s="232" t="s">
        <v>235</v>
      </c>
      <c r="C237" s="244"/>
      <c r="D237" s="236"/>
      <c r="E237" s="231">
        <v>840</v>
      </c>
      <c r="F237" s="54">
        <f t="shared" si="41"/>
        <v>2518</v>
      </c>
      <c r="G237" s="240"/>
      <c r="H237" s="226"/>
      <c r="I237" s="62">
        <f t="shared" si="40"/>
        <v>0</v>
      </c>
      <c r="J237" s="264"/>
      <c r="K237" s="246"/>
      <c r="L237" s="67">
        <f t="shared" si="42"/>
        <v>66967</v>
      </c>
    </row>
    <row r="238" spans="1:12" s="2" customFormat="1" x14ac:dyDescent="0.3">
      <c r="A238" s="32">
        <v>46052</v>
      </c>
      <c r="B238" s="230" t="s">
        <v>236</v>
      </c>
      <c r="C238" s="244"/>
      <c r="D238" s="236"/>
      <c r="E238" s="231">
        <v>140</v>
      </c>
      <c r="F238" s="54">
        <f t="shared" si="41"/>
        <v>2378</v>
      </c>
      <c r="G238" s="240"/>
      <c r="H238" s="228"/>
      <c r="I238" s="62">
        <f t="shared" si="40"/>
        <v>0</v>
      </c>
      <c r="J238" s="264"/>
      <c r="K238" s="246"/>
      <c r="L238" s="67">
        <f t="shared" si="42"/>
        <v>66967</v>
      </c>
    </row>
    <row r="239" spans="1:12" s="2" customFormat="1" x14ac:dyDescent="0.3">
      <c r="A239" s="32">
        <v>46052</v>
      </c>
      <c r="B239" s="230" t="s">
        <v>237</v>
      </c>
      <c r="C239" s="244"/>
      <c r="D239" s="236"/>
      <c r="E239" s="231">
        <v>276</v>
      </c>
      <c r="F239" s="54">
        <f t="shared" si="41"/>
        <v>2102</v>
      </c>
      <c r="G239" s="241"/>
      <c r="H239" s="226"/>
      <c r="I239" s="62">
        <f t="shared" si="40"/>
        <v>0</v>
      </c>
      <c r="J239" s="233"/>
      <c r="K239" s="246"/>
      <c r="L239" s="67">
        <f t="shared" si="42"/>
        <v>66967</v>
      </c>
    </row>
    <row r="240" spans="1:12" s="2" customFormat="1" x14ac:dyDescent="0.3">
      <c r="A240" s="32">
        <v>46052</v>
      </c>
      <c r="B240" s="230" t="s">
        <v>238</v>
      </c>
      <c r="C240" s="244"/>
      <c r="D240" s="236"/>
      <c r="E240" s="231">
        <v>705</v>
      </c>
      <c r="F240" s="54">
        <f t="shared" si="41"/>
        <v>1397</v>
      </c>
      <c r="G240" s="240"/>
      <c r="H240" s="226"/>
      <c r="I240" s="62">
        <f t="shared" si="40"/>
        <v>0</v>
      </c>
      <c r="J240" s="271"/>
      <c r="K240" s="246"/>
      <c r="L240" s="67">
        <f t="shared" si="42"/>
        <v>66967</v>
      </c>
    </row>
    <row r="241" spans="1:12" s="2" customFormat="1" x14ac:dyDescent="0.3">
      <c r="A241" s="32">
        <v>46052</v>
      </c>
      <c r="B241" s="230" t="s">
        <v>239</v>
      </c>
      <c r="C241" s="244"/>
      <c r="D241" s="236"/>
      <c r="E241" s="231">
        <v>182</v>
      </c>
      <c r="F241" s="54">
        <f t="shared" si="41"/>
        <v>1215</v>
      </c>
      <c r="G241" s="240"/>
      <c r="H241" s="226"/>
      <c r="I241" s="62">
        <f t="shared" si="40"/>
        <v>0</v>
      </c>
      <c r="J241" s="264"/>
      <c r="K241" s="246"/>
      <c r="L241" s="67">
        <f t="shared" si="42"/>
        <v>66967</v>
      </c>
    </row>
    <row r="242" spans="1:12" s="2" customFormat="1" x14ac:dyDescent="0.3">
      <c r="A242" s="32">
        <v>46052</v>
      </c>
      <c r="B242" s="230" t="s">
        <v>97</v>
      </c>
      <c r="C242" s="244"/>
      <c r="D242" s="236"/>
      <c r="E242" s="231">
        <v>420</v>
      </c>
      <c r="F242" s="54">
        <f t="shared" si="41"/>
        <v>795</v>
      </c>
      <c r="G242" s="240"/>
      <c r="H242" s="226"/>
      <c r="I242" s="62">
        <f t="shared" si="40"/>
        <v>0</v>
      </c>
      <c r="J242" s="248"/>
      <c r="K242" s="246"/>
      <c r="L242" s="67">
        <f t="shared" si="42"/>
        <v>66967</v>
      </c>
    </row>
    <row r="243" spans="1:12" s="2" customFormat="1" x14ac:dyDescent="0.3">
      <c r="A243" s="32">
        <v>46052</v>
      </c>
      <c r="B243" s="230" t="s">
        <v>98</v>
      </c>
      <c r="C243" s="244"/>
      <c r="D243" s="236"/>
      <c r="E243" s="231">
        <v>450</v>
      </c>
      <c r="F243" s="54">
        <f t="shared" si="41"/>
        <v>345</v>
      </c>
      <c r="G243" s="240"/>
      <c r="H243" s="226"/>
      <c r="I243" s="62">
        <f t="shared" si="40"/>
        <v>0</v>
      </c>
      <c r="J243" s="248"/>
      <c r="K243" s="246"/>
      <c r="L243" s="67">
        <f t="shared" si="42"/>
        <v>66967</v>
      </c>
    </row>
    <row r="244" spans="1:12" s="2" customFormat="1" x14ac:dyDescent="0.3">
      <c r="A244" s="32">
        <v>46052</v>
      </c>
      <c r="B244" s="230" t="s">
        <v>240</v>
      </c>
      <c r="C244" s="244"/>
      <c r="D244" s="236"/>
      <c r="E244" s="231">
        <v>200</v>
      </c>
      <c r="F244" s="54">
        <f t="shared" si="41"/>
        <v>145</v>
      </c>
      <c r="G244" s="241"/>
      <c r="H244" s="226"/>
      <c r="I244" s="62">
        <f t="shared" si="40"/>
        <v>0</v>
      </c>
      <c r="J244" s="271"/>
      <c r="K244" s="246"/>
      <c r="L244" s="67">
        <f t="shared" si="42"/>
        <v>66967</v>
      </c>
    </row>
    <row r="245" spans="1:12" s="2" customFormat="1" x14ac:dyDescent="0.3">
      <c r="A245" s="32">
        <v>46052</v>
      </c>
      <c r="B245" s="230" t="s">
        <v>52</v>
      </c>
      <c r="C245" s="244"/>
      <c r="D245" s="236"/>
      <c r="E245" s="231"/>
      <c r="F245" s="54">
        <f t="shared" si="41"/>
        <v>145</v>
      </c>
      <c r="G245" s="241"/>
      <c r="H245" s="226"/>
      <c r="I245" s="62">
        <f t="shared" si="40"/>
        <v>0</v>
      </c>
      <c r="J245" s="248"/>
      <c r="K245" s="246">
        <v>10000</v>
      </c>
      <c r="L245" s="67">
        <f t="shared" si="42"/>
        <v>56967</v>
      </c>
    </row>
    <row r="246" spans="1:12" s="2" customFormat="1" x14ac:dyDescent="0.3">
      <c r="A246" s="32">
        <v>46052</v>
      </c>
      <c r="B246" s="230" t="s">
        <v>241</v>
      </c>
      <c r="C246" s="244"/>
      <c r="D246" s="236"/>
      <c r="E246" s="231">
        <v>75</v>
      </c>
      <c r="F246" s="54">
        <f t="shared" si="41"/>
        <v>70</v>
      </c>
      <c r="G246" s="242"/>
      <c r="H246" s="227"/>
      <c r="I246" s="62">
        <f t="shared" si="40"/>
        <v>0</v>
      </c>
      <c r="J246" s="37"/>
      <c r="K246" s="246"/>
      <c r="L246" s="67">
        <f t="shared" si="42"/>
        <v>56967</v>
      </c>
    </row>
    <row r="247" spans="1:12" s="2" customFormat="1" x14ac:dyDescent="0.3">
      <c r="A247" s="32">
        <v>46052</v>
      </c>
      <c r="B247" s="232" t="s">
        <v>242</v>
      </c>
      <c r="C247" s="239">
        <v>400</v>
      </c>
      <c r="D247" s="236"/>
      <c r="E247" s="231"/>
      <c r="F247" s="54">
        <f t="shared" si="41"/>
        <v>470</v>
      </c>
      <c r="G247" s="243"/>
      <c r="H247" s="227"/>
      <c r="I247" s="62">
        <f t="shared" si="40"/>
        <v>0</v>
      </c>
      <c r="J247" s="264"/>
      <c r="K247" s="246"/>
      <c r="L247" s="67">
        <f t="shared" si="42"/>
        <v>56967</v>
      </c>
    </row>
    <row r="248" spans="1:12" s="2" customFormat="1" x14ac:dyDescent="0.3">
      <c r="A248" s="32">
        <v>46052</v>
      </c>
      <c r="B248" s="230" t="s">
        <v>243</v>
      </c>
      <c r="C248" s="244"/>
      <c r="D248" s="236"/>
      <c r="E248" s="231">
        <v>630</v>
      </c>
      <c r="F248" s="54">
        <f t="shared" si="41"/>
        <v>-160</v>
      </c>
      <c r="G248" s="223"/>
      <c r="H248" s="221"/>
      <c r="I248" s="62">
        <f t="shared" si="40"/>
        <v>0</v>
      </c>
      <c r="J248" s="271"/>
      <c r="K248" s="246"/>
      <c r="L248" s="67">
        <f t="shared" si="42"/>
        <v>56967</v>
      </c>
    </row>
    <row r="249" spans="1:12" s="2" customFormat="1" x14ac:dyDescent="0.3">
      <c r="A249" s="32">
        <v>46052</v>
      </c>
      <c r="B249" s="232" t="s">
        <v>244</v>
      </c>
      <c r="C249" s="244">
        <v>425</v>
      </c>
      <c r="D249" s="236"/>
      <c r="E249" s="231"/>
      <c r="F249" s="54">
        <f t="shared" si="41"/>
        <v>265</v>
      </c>
      <c r="G249" s="223"/>
      <c r="H249" s="227"/>
      <c r="I249" s="62">
        <f t="shared" si="40"/>
        <v>0</v>
      </c>
      <c r="J249" s="271"/>
      <c r="K249" s="246"/>
      <c r="L249" s="67">
        <f t="shared" si="42"/>
        <v>56967</v>
      </c>
    </row>
    <row r="250" spans="1:12" s="2" customFormat="1" x14ac:dyDescent="0.3">
      <c r="A250" s="32">
        <v>46052</v>
      </c>
      <c r="B250" s="232" t="s">
        <v>245</v>
      </c>
      <c r="C250" s="244">
        <v>232</v>
      </c>
      <c r="D250" s="236"/>
      <c r="E250" s="231"/>
      <c r="F250" s="54">
        <f t="shared" si="41"/>
        <v>497</v>
      </c>
      <c r="G250" s="223"/>
      <c r="H250" s="227"/>
      <c r="I250" s="62">
        <f t="shared" si="40"/>
        <v>0</v>
      </c>
      <c r="J250" s="229"/>
      <c r="K250" s="246"/>
      <c r="L250" s="67">
        <f t="shared" si="42"/>
        <v>56967</v>
      </c>
    </row>
    <row r="251" spans="1:12" s="2" customFormat="1" x14ac:dyDescent="0.3">
      <c r="A251" s="32">
        <v>46052</v>
      </c>
      <c r="B251" s="232" t="s">
        <v>246</v>
      </c>
      <c r="C251" s="244">
        <v>200</v>
      </c>
      <c r="D251" s="236"/>
      <c r="E251" s="231"/>
      <c r="F251" s="54">
        <f t="shared" si="41"/>
        <v>697</v>
      </c>
      <c r="G251" s="223"/>
      <c r="H251" s="227"/>
      <c r="I251" s="62">
        <f t="shared" si="40"/>
        <v>0</v>
      </c>
      <c r="J251" s="65">
        <v>20000</v>
      </c>
      <c r="K251" s="246"/>
      <c r="L251" s="67">
        <f t="shared" si="42"/>
        <v>76967</v>
      </c>
    </row>
    <row r="252" spans="1:12" s="2" customFormat="1" x14ac:dyDescent="0.3">
      <c r="A252" s="32">
        <v>46052</v>
      </c>
      <c r="B252" s="230" t="s">
        <v>247</v>
      </c>
      <c r="C252" s="244"/>
      <c r="D252" s="236"/>
      <c r="E252" s="231"/>
      <c r="F252" s="54">
        <f t="shared" si="41"/>
        <v>697</v>
      </c>
      <c r="G252" s="223"/>
      <c r="H252" s="227"/>
      <c r="I252" s="62">
        <f t="shared" si="40"/>
        <v>0</v>
      </c>
      <c r="J252" s="65"/>
      <c r="K252" s="246">
        <v>50000</v>
      </c>
      <c r="L252" s="67">
        <f t="shared" si="42"/>
        <v>26967</v>
      </c>
    </row>
    <row r="253" spans="1:12" s="2" customFormat="1" x14ac:dyDescent="0.3">
      <c r="A253" s="32">
        <v>46052</v>
      </c>
      <c r="B253" s="230" t="s">
        <v>248</v>
      </c>
      <c r="C253" s="267"/>
      <c r="D253" s="235"/>
      <c r="E253" s="231">
        <v>35</v>
      </c>
      <c r="F253" s="54">
        <f t="shared" si="41"/>
        <v>662</v>
      </c>
      <c r="G253" s="223"/>
      <c r="H253" s="227"/>
      <c r="I253" s="62">
        <f t="shared" si="40"/>
        <v>0</v>
      </c>
      <c r="J253" s="248"/>
      <c r="K253" s="246"/>
      <c r="L253" s="67">
        <f t="shared" si="42"/>
        <v>26967</v>
      </c>
    </row>
    <row r="254" spans="1:12" s="2" customFormat="1" ht="15" thickBot="1" x14ac:dyDescent="0.35">
      <c r="A254" s="32"/>
      <c r="B254" s="41"/>
      <c r="C254" s="44"/>
      <c r="D254" s="42"/>
      <c r="E254" s="64"/>
      <c r="F254" s="68">
        <f t="shared" ref="F254:F255" si="43">F253+C254+D254-E254</f>
        <v>662</v>
      </c>
      <c r="G254" s="43"/>
      <c r="H254" s="40"/>
      <c r="I254" s="70">
        <f t="shared" ref="I254:I255" si="44">I253+G254-H254</f>
        <v>0</v>
      </c>
      <c r="J254" s="283"/>
      <c r="K254" s="284"/>
      <c r="L254" s="100">
        <f t="shared" ref="L254:L255" si="45">L253+J254-K254</f>
        <v>26967</v>
      </c>
    </row>
    <row r="255" spans="1:12" ht="15" thickBot="1" x14ac:dyDescent="0.35">
      <c r="A255" s="31"/>
      <c r="B255" s="28" t="s">
        <v>21</v>
      </c>
      <c r="C255" s="76"/>
      <c r="D255" s="56"/>
      <c r="E255" s="57"/>
      <c r="F255" s="281">
        <f t="shared" si="43"/>
        <v>662</v>
      </c>
      <c r="G255" s="105"/>
      <c r="H255" s="58"/>
      <c r="I255" s="282">
        <f t="shared" si="44"/>
        <v>0</v>
      </c>
      <c r="J255" s="285"/>
      <c r="K255" s="286"/>
      <c r="L255" s="287">
        <f t="shared" si="45"/>
        <v>26967</v>
      </c>
    </row>
    <row r="256" spans="1:12" x14ac:dyDescent="0.3">
      <c r="A256" s="30"/>
      <c r="B256" s="29" t="s">
        <v>22</v>
      </c>
      <c r="C256" s="98"/>
      <c r="D256" s="99"/>
      <c r="E256" s="99"/>
      <c r="F256" s="3">
        <v>5080</v>
      </c>
      <c r="G256" s="2"/>
      <c r="H256" s="2"/>
      <c r="I256" s="2"/>
      <c r="J256" s="2"/>
      <c r="K256" s="2"/>
      <c r="L256" s="2"/>
    </row>
  </sheetData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062026</vt:lpstr>
      <vt:lpstr>052026</vt:lpstr>
      <vt:lpstr>042026</vt:lpstr>
      <vt:lpstr>032026</vt:lpstr>
      <vt:lpstr>022026</vt:lpstr>
      <vt:lpstr>012026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Muaka</dc:creator>
  <cp:lastModifiedBy>Willy Muaka</cp:lastModifiedBy>
  <cp:lastPrinted>2026-05-21T08:52:15Z</cp:lastPrinted>
  <dcterms:created xsi:type="dcterms:W3CDTF">2025-09-19T07:53:43Z</dcterms:created>
  <dcterms:modified xsi:type="dcterms:W3CDTF">2026-06-15T12:23:37Z</dcterms:modified>
</cp:coreProperties>
</file>