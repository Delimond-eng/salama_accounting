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468" windowWidth="23256" windowHeight="13176" activeTab="2"/>
  </bookViews>
  <sheets>
    <sheet name="RESUME" sheetId="3" r:id="rId1"/>
    <sheet name="SUIVI TVA" sheetId="9" r:id="rId2"/>
    <sheet name="FACTURES NORMALISEES" sheetId="6" r:id="rId3"/>
    <sheet name="FACTURES SN" sheetId="7" r:id="rId4"/>
    <sheet name="Feuil1" sheetId="8" r:id="rId5"/>
  </sheets>
  <calcPr calcId="144525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26" i="7" l="1"/>
  <c r="D127" i="7"/>
  <c r="D128" i="7"/>
  <c r="D129" i="7"/>
  <c r="E306" i="6" l="1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O65" i="9" l="1"/>
  <c r="O72" i="9" s="1"/>
  <c r="N65" i="9"/>
  <c r="N72" i="9" s="1"/>
  <c r="O83" i="9"/>
  <c r="O123" i="9" s="1"/>
  <c r="O58" i="9"/>
  <c r="O194" i="9" l="1"/>
  <c r="N194" i="9" s="1"/>
  <c r="O193" i="9"/>
  <c r="N193" i="9" s="1"/>
  <c r="O192" i="9"/>
  <c r="N192" i="9" s="1"/>
  <c r="O191" i="9"/>
  <c r="N191" i="9" s="1"/>
  <c r="O190" i="9"/>
  <c r="N190" i="9" s="1"/>
  <c r="E185" i="9" l="1"/>
  <c r="E186" i="9"/>
  <c r="E187" i="9"/>
  <c r="E188" i="9"/>
  <c r="E189" i="9"/>
  <c r="E190" i="9"/>
  <c r="E191" i="9"/>
  <c r="E192" i="9"/>
  <c r="E193" i="9"/>
  <c r="E194" i="9"/>
  <c r="E195" i="9"/>
  <c r="J177" i="9"/>
  <c r="J175" i="9"/>
  <c r="J174" i="9"/>
  <c r="J173" i="9"/>
  <c r="J172" i="9"/>
  <c r="J169" i="9"/>
  <c r="J168" i="9"/>
  <c r="J167" i="9"/>
  <c r="J166" i="9"/>
  <c r="J165" i="9"/>
  <c r="J164" i="9"/>
  <c r="O188" i="9"/>
  <c r="N188" i="9" s="1"/>
  <c r="O187" i="9"/>
  <c r="N187" i="9" s="1"/>
  <c r="O186" i="9"/>
  <c r="N186" i="9" s="1"/>
  <c r="O184" i="9" l="1"/>
  <c r="N184" i="9" s="1"/>
  <c r="O181" i="9"/>
  <c r="N181" i="9" s="1"/>
  <c r="O180" i="9"/>
  <c r="O179" i="9"/>
  <c r="N179" i="9" s="1"/>
  <c r="O178" i="9"/>
  <c r="N178" i="9" s="1"/>
  <c r="O176" i="9"/>
  <c r="N176" i="9" s="1"/>
  <c r="N172" i="9"/>
  <c r="O171" i="9"/>
  <c r="N171" i="9" s="1"/>
  <c r="N173" i="9"/>
  <c r="N174" i="9"/>
  <c r="N175" i="9"/>
  <c r="N177" i="9"/>
  <c r="N182" i="9"/>
  <c r="N183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N180" i="9" l="1"/>
  <c r="N195" i="9" s="1"/>
  <c r="O195" i="9"/>
  <c r="O161" i="9"/>
  <c r="N161" i="9" s="1"/>
  <c r="E302" i="6" l="1"/>
  <c r="G302" i="6" s="1"/>
  <c r="E301" i="6"/>
  <c r="G301" i="6" s="1"/>
  <c r="E300" i="6"/>
  <c r="G300" i="6" s="1"/>
  <c r="P169" i="9" l="1"/>
  <c r="P168" i="9"/>
  <c r="P167" i="9"/>
  <c r="P166" i="9"/>
  <c r="P165" i="9"/>
  <c r="P164" i="9"/>
  <c r="O163" i="9"/>
  <c r="N163" i="9" s="1"/>
  <c r="N164" i="9"/>
  <c r="N165" i="9"/>
  <c r="N166" i="9"/>
  <c r="N167" i="9"/>
  <c r="N168" i="9"/>
  <c r="N169" i="9"/>
  <c r="O162" i="9"/>
  <c r="N162" i="9" s="1"/>
  <c r="E305" i="6"/>
  <c r="F305" i="6" s="1"/>
  <c r="E304" i="6"/>
  <c r="F304" i="6" s="1"/>
  <c r="E303" i="6"/>
  <c r="F303" i="6" s="1"/>
  <c r="E288" i="6"/>
  <c r="F288" i="6" s="1"/>
  <c r="E289" i="6"/>
  <c r="F289" i="6" s="1"/>
  <c r="E296" i="6"/>
  <c r="G296" i="6" s="1"/>
  <c r="E293" i="6"/>
  <c r="G293" i="6" s="1"/>
  <c r="E292" i="6"/>
  <c r="G292" i="6" s="1"/>
  <c r="E291" i="6"/>
  <c r="G291" i="6" s="1"/>
  <c r="E290" i="6"/>
  <c r="G290" i="6" s="1"/>
  <c r="E287" i="6"/>
  <c r="G287" i="6" s="1"/>
  <c r="E286" i="6"/>
  <c r="G286" i="6" s="1"/>
  <c r="E285" i="6"/>
  <c r="G285" i="6" s="1"/>
  <c r="P197" i="9" l="1"/>
  <c r="N197" i="9"/>
  <c r="O197" i="9"/>
  <c r="D117" i="7"/>
  <c r="D114" i="7"/>
  <c r="E267" i="6" l="1"/>
  <c r="G267" i="6" s="1"/>
  <c r="E268" i="6"/>
  <c r="G268" i="6" s="1"/>
  <c r="E269" i="6"/>
  <c r="G269" i="6" s="1"/>
  <c r="E270" i="6"/>
  <c r="G270" i="6" s="1"/>
  <c r="E271" i="6"/>
  <c r="G271" i="6" s="1"/>
  <c r="E272" i="6"/>
  <c r="G272" i="6" s="1"/>
  <c r="E273" i="6"/>
  <c r="G273" i="6" s="1"/>
  <c r="E274" i="6"/>
  <c r="G274" i="6" s="1"/>
  <c r="E276" i="6"/>
  <c r="G276" i="6" s="1"/>
  <c r="E277" i="6"/>
  <c r="G277" i="6" s="1"/>
  <c r="BG111" i="7" l="1"/>
  <c r="E112" i="7"/>
  <c r="F112" i="7"/>
  <c r="G112" i="7"/>
  <c r="H112" i="7"/>
  <c r="I112" i="7"/>
  <c r="J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G112" i="7"/>
  <c r="K112" i="7" l="1"/>
  <c r="E266" i="6" l="1"/>
  <c r="G266" i="6" s="1"/>
  <c r="E265" i="6"/>
  <c r="G265" i="6" s="1"/>
  <c r="E264" i="6"/>
  <c r="G264" i="6" s="1"/>
  <c r="J180" i="9" s="1"/>
  <c r="J195" i="9" s="1"/>
  <c r="E258" i="6"/>
  <c r="G258" i="6" s="1"/>
  <c r="E257" i="6"/>
  <c r="G257" i="6" s="1"/>
  <c r="E256" i="6"/>
  <c r="G256" i="6" s="1"/>
  <c r="E255" i="6"/>
  <c r="G255" i="6" s="1"/>
  <c r="E254" i="6"/>
  <c r="G254" i="6" s="1"/>
  <c r="J184" i="9" s="1"/>
  <c r="E253" i="6"/>
  <c r="G253" i="6" s="1"/>
  <c r="J194" i="9" s="1"/>
  <c r="E247" i="6"/>
  <c r="G247" i="6" s="1"/>
  <c r="E246" i="6"/>
  <c r="G246" i="6" s="1"/>
  <c r="E245" i="6"/>
  <c r="G245" i="6" s="1"/>
  <c r="J187" i="9" s="1"/>
  <c r="E244" i="6"/>
  <c r="G244" i="6" s="1"/>
  <c r="J188" i="9" s="1"/>
  <c r="E262" i="6"/>
  <c r="F262" i="6" s="1"/>
  <c r="E261" i="6"/>
  <c r="F261" i="6" s="1"/>
  <c r="E263" i="6"/>
  <c r="F263" i="6" s="1"/>
  <c r="E260" i="6"/>
  <c r="F260" i="6" s="1"/>
  <c r="E259" i="6"/>
  <c r="F259" i="6" s="1"/>
  <c r="J163" i="9" s="1"/>
  <c r="E158" i="9" l="1"/>
  <c r="O120" i="9"/>
  <c r="N120" i="9" s="1"/>
  <c r="O119" i="9"/>
  <c r="N119" i="9" s="1"/>
  <c r="N121" i="9"/>
  <c r="N122" i="9"/>
  <c r="N118" i="9"/>
  <c r="E170" i="9"/>
  <c r="E169" i="9"/>
  <c r="E168" i="9"/>
  <c r="E167" i="9"/>
  <c r="E166" i="9"/>
  <c r="E165" i="9"/>
  <c r="E164" i="9"/>
  <c r="E163" i="9"/>
  <c r="E162" i="9"/>
  <c r="E161" i="9"/>
  <c r="E200" i="9"/>
  <c r="E201" i="9"/>
  <c r="E202" i="9"/>
  <c r="E203" i="9"/>
  <c r="E204" i="9"/>
  <c r="E205" i="9"/>
  <c r="E206" i="9"/>
  <c r="E207" i="9"/>
  <c r="E208" i="9"/>
  <c r="E209" i="9"/>
  <c r="E210" i="9" s="1"/>
  <c r="E222" i="9"/>
  <c r="E216" i="9"/>
  <c r="E212" i="9"/>
  <c r="E213" i="9"/>
  <c r="E214" i="9"/>
  <c r="E215" i="9" s="1"/>
  <c r="E219" i="9"/>
  <c r="K159" i="9" l="1"/>
  <c r="K65" i="9"/>
  <c r="K74" i="9" s="1"/>
  <c r="I279" i="6" l="1"/>
  <c r="H279" i="6"/>
  <c r="E243" i="6" l="1"/>
  <c r="F243" i="6" s="1"/>
  <c r="E242" i="6"/>
  <c r="F242" i="6" s="1"/>
  <c r="E240" i="6"/>
  <c r="F240" i="6" s="1"/>
  <c r="J193" i="9" s="1"/>
  <c r="E239" i="6"/>
  <c r="G239" i="6" s="1"/>
  <c r="J191" i="9" s="1"/>
  <c r="F279" i="6" l="1"/>
  <c r="I176" i="6"/>
  <c r="I179" i="6" l="1"/>
  <c r="I177" i="6"/>
  <c r="O157" i="9"/>
  <c r="N157" i="9" s="1"/>
  <c r="O156" i="9"/>
  <c r="N156" i="9" s="1"/>
  <c r="O155" i="9"/>
  <c r="N155" i="9" s="1"/>
  <c r="O154" i="9"/>
  <c r="N154" i="9" s="1"/>
  <c r="O153" i="9"/>
  <c r="N153" i="9" s="1"/>
  <c r="O152" i="9"/>
  <c r="N152" i="9" s="1"/>
  <c r="P151" i="9"/>
  <c r="O150" i="9"/>
  <c r="N150" i="9" s="1"/>
  <c r="O149" i="9"/>
  <c r="N149" i="9" s="1"/>
  <c r="O148" i="9"/>
  <c r="N148" i="9" s="1"/>
  <c r="O147" i="9"/>
  <c r="N147" i="9" s="1"/>
  <c r="O146" i="9"/>
  <c r="N146" i="9" s="1"/>
  <c r="O145" i="9"/>
  <c r="N145" i="9" s="1"/>
  <c r="O144" i="9"/>
  <c r="N144" i="9" s="1"/>
  <c r="P141" i="9"/>
  <c r="P140" i="9"/>
  <c r="P139" i="9"/>
  <c r="O138" i="9"/>
  <c r="N138" i="9" s="1"/>
  <c r="P136" i="9"/>
  <c r="O134" i="9"/>
  <c r="N134" i="9" s="1"/>
  <c r="O133" i="9"/>
  <c r="N133" i="9" s="1"/>
  <c r="O130" i="9"/>
  <c r="N130" i="9" s="1"/>
  <c r="O129" i="9"/>
  <c r="N129" i="9" s="1"/>
  <c r="O128" i="9"/>
  <c r="N128" i="9" s="1"/>
  <c r="O127" i="9"/>
  <c r="N127" i="9" s="1"/>
  <c r="N142" i="9"/>
  <c r="N141" i="9"/>
  <c r="N140" i="9"/>
  <c r="N139" i="9"/>
  <c r="N136" i="9"/>
  <c r="N135" i="9"/>
  <c r="N131" i="9"/>
  <c r="P159" i="9" l="1"/>
  <c r="O159" i="9"/>
  <c r="N159" i="9"/>
  <c r="H235" i="6"/>
  <c r="I213" i="6"/>
  <c r="I235" i="6" s="1"/>
  <c r="H191" i="6"/>
  <c r="G143" i="9"/>
  <c r="I148" i="6" l="1"/>
  <c r="I191" i="6" s="1"/>
  <c r="I26" i="6"/>
  <c r="E237" i="6" l="1"/>
  <c r="G237" i="6" l="1"/>
  <c r="J192" i="9" s="1"/>
  <c r="E238" i="6"/>
  <c r="G238" i="6" s="1"/>
  <c r="J190" i="9" s="1"/>
  <c r="E233" i="6" l="1"/>
  <c r="F233" i="6" s="1"/>
  <c r="E213" i="6" l="1"/>
  <c r="F213" i="6" s="1"/>
  <c r="E214" i="6" l="1"/>
  <c r="F214" i="6" s="1"/>
  <c r="E232" i="6"/>
  <c r="G232" i="6" s="1"/>
  <c r="E231" i="6"/>
  <c r="G231" i="6" s="1"/>
  <c r="E230" i="6"/>
  <c r="G230" i="6" s="1"/>
  <c r="E229" i="6"/>
  <c r="G229" i="6" s="1"/>
  <c r="E228" i="6"/>
  <c r="G228" i="6" s="1"/>
  <c r="E227" i="6"/>
  <c r="G227" i="6" s="1"/>
  <c r="E224" i="6"/>
  <c r="G224" i="6" s="1"/>
  <c r="J171" i="9" l="1"/>
  <c r="J161" i="9"/>
  <c r="J176" i="9"/>
  <c r="E223" i="6"/>
  <c r="F223" i="6" s="1"/>
  <c r="E222" i="6"/>
  <c r="F222" i="6" s="1"/>
  <c r="E221" i="6"/>
  <c r="F221" i="6" s="1"/>
  <c r="E219" i="6"/>
  <c r="F219" i="6" s="1"/>
  <c r="E218" i="6"/>
  <c r="F218" i="6" s="1"/>
  <c r="E217" i="6"/>
  <c r="F217" i="6" s="1"/>
  <c r="E216" i="6"/>
  <c r="F216" i="6" s="1"/>
  <c r="E215" i="6"/>
  <c r="F215" i="6" s="1"/>
  <c r="E211" i="6"/>
  <c r="F211" i="6" s="1"/>
  <c r="E212" i="6"/>
  <c r="F212" i="6" s="1"/>
  <c r="E210" i="6"/>
  <c r="F210" i="6" s="1"/>
  <c r="J162" i="9" l="1"/>
  <c r="J186" i="9"/>
  <c r="J178" i="9"/>
  <c r="J130" i="9"/>
  <c r="F235" i="6"/>
  <c r="E209" i="6" l="1"/>
  <c r="G209" i="6" s="1"/>
  <c r="D65" i="7" l="1"/>
  <c r="K65" i="7" l="1"/>
  <c r="K80" i="7"/>
  <c r="K81" i="7"/>
  <c r="K82" i="7"/>
  <c r="K83" i="7"/>
  <c r="K84" i="7"/>
  <c r="K85" i="7"/>
  <c r="K86" i="7"/>
  <c r="K87" i="7"/>
  <c r="D80" i="7"/>
  <c r="D81" i="7"/>
  <c r="D82" i="7"/>
  <c r="D83" i="7"/>
  <c r="D84" i="7"/>
  <c r="D85" i="7"/>
  <c r="D86" i="7"/>
  <c r="D87" i="7"/>
  <c r="E208" i="6" l="1"/>
  <c r="G208" i="6" s="1"/>
  <c r="E207" i="6"/>
  <c r="G207" i="6" s="1"/>
  <c r="E206" i="6"/>
  <c r="G206" i="6" s="1"/>
  <c r="E205" i="6"/>
  <c r="G205" i="6" s="1"/>
  <c r="E204" i="6"/>
  <c r="G204" i="6" s="1"/>
  <c r="E202" i="6"/>
  <c r="G202" i="6" s="1"/>
  <c r="E201" i="6"/>
  <c r="G201" i="6" s="1"/>
  <c r="E200" i="6"/>
  <c r="G200" i="6" s="1"/>
  <c r="E199" i="6"/>
  <c r="G199" i="6" s="1"/>
  <c r="E198" i="6"/>
  <c r="G198" i="6" s="1"/>
  <c r="E196" i="6"/>
  <c r="G196" i="6" s="1"/>
  <c r="E194" i="6"/>
  <c r="G194" i="6" s="1"/>
  <c r="J149" i="9" l="1"/>
  <c r="J146" i="9"/>
  <c r="J153" i="9"/>
  <c r="E193" i="6"/>
  <c r="G193" i="6" l="1"/>
  <c r="O99" i="9"/>
  <c r="N108" i="9"/>
  <c r="N109" i="9"/>
  <c r="N110" i="9"/>
  <c r="N111" i="9"/>
  <c r="N86" i="9"/>
  <c r="I125" i="9"/>
  <c r="K125" i="9"/>
  <c r="P125" i="9"/>
  <c r="E159" i="9"/>
  <c r="G159" i="9"/>
  <c r="E196" i="9"/>
  <c r="E197" i="9" s="1"/>
  <c r="G197" i="9"/>
  <c r="E199" i="9"/>
  <c r="G210" i="9"/>
  <c r="E211" i="9"/>
  <c r="O114" i="9"/>
  <c r="O113" i="9" l="1"/>
  <c r="N113" i="9" s="1"/>
  <c r="O103" i="9"/>
  <c r="N103" i="9" s="1"/>
  <c r="O107" i="9"/>
  <c r="N107" i="9" s="1"/>
  <c r="O106" i="9"/>
  <c r="N106" i="9" s="1"/>
  <c r="O105" i="9"/>
  <c r="N105" i="9" s="1"/>
  <c r="N116" i="9"/>
  <c r="N115" i="9"/>
  <c r="N114" i="9"/>
  <c r="N112" i="9"/>
  <c r="N104" i="9"/>
  <c r="N102" i="9"/>
  <c r="N100" i="9"/>
  <c r="N99" i="9"/>
  <c r="N98" i="9"/>
  <c r="N97" i="9"/>
  <c r="N96" i="9"/>
  <c r="N95" i="9"/>
  <c r="N94" i="9"/>
  <c r="N92" i="9"/>
  <c r="N90" i="9"/>
  <c r="N89" i="9"/>
  <c r="N88" i="9"/>
  <c r="N87" i="9"/>
  <c r="N85" i="9"/>
  <c r="N84" i="9"/>
  <c r="N83" i="9"/>
  <c r="N123" i="9" s="1"/>
  <c r="N76" i="9"/>
  <c r="H104" i="9"/>
  <c r="H115" i="9"/>
  <c r="O91" i="9"/>
  <c r="J99" i="9"/>
  <c r="J91" i="9"/>
  <c r="N91" i="9" l="1"/>
  <c r="O125" i="9"/>
  <c r="E187" i="6"/>
  <c r="G187" i="6" s="1"/>
  <c r="E186" i="6"/>
  <c r="G186" i="6" s="1"/>
  <c r="E185" i="6"/>
  <c r="G185" i="6" s="1"/>
  <c r="E182" i="6"/>
  <c r="G182" i="6" s="1"/>
  <c r="E169" i="6"/>
  <c r="G169" i="6" s="1"/>
  <c r="E181" i="6"/>
  <c r="F181" i="6" s="1"/>
  <c r="E180" i="6"/>
  <c r="F180" i="6" s="1"/>
  <c r="E179" i="6"/>
  <c r="F179" i="6" s="1"/>
  <c r="E177" i="6"/>
  <c r="F177" i="6" s="1"/>
  <c r="E176" i="6"/>
  <c r="F176" i="6" s="1"/>
  <c r="E175" i="6"/>
  <c r="F175" i="6" s="1"/>
  <c r="E174" i="6"/>
  <c r="F174" i="6" s="1"/>
  <c r="E173" i="6"/>
  <c r="F173" i="6" s="1"/>
  <c r="E172" i="6"/>
  <c r="F172" i="6" s="1"/>
  <c r="E171" i="6"/>
  <c r="F171" i="6" s="1"/>
  <c r="E170" i="6"/>
  <c r="F170" i="6" s="1"/>
  <c r="J128" i="9" l="1"/>
  <c r="J142" i="9"/>
  <c r="J127" i="9"/>
  <c r="J148" i="9"/>
  <c r="J133" i="9"/>
  <c r="J116" i="9"/>
  <c r="J129" i="9"/>
  <c r="E166" i="6"/>
  <c r="G166" i="6" s="1"/>
  <c r="E165" i="6"/>
  <c r="G165" i="6" s="1"/>
  <c r="E167" i="6"/>
  <c r="G167" i="6" s="1"/>
  <c r="E164" i="6"/>
  <c r="G164" i="6" s="1"/>
  <c r="E163" i="6"/>
  <c r="E162" i="6"/>
  <c r="G162" i="6" s="1"/>
  <c r="E161" i="6"/>
  <c r="G161" i="6" s="1"/>
  <c r="E160" i="6"/>
  <c r="G160" i="6" s="1"/>
  <c r="E159" i="6"/>
  <c r="G159" i="6" s="1"/>
  <c r="E158" i="6"/>
  <c r="G158" i="6" s="1"/>
  <c r="E157" i="6"/>
  <c r="F157" i="6" s="1"/>
  <c r="E156" i="6"/>
  <c r="F156" i="6" s="1"/>
  <c r="E155" i="6"/>
  <c r="F155" i="6" s="1"/>
  <c r="E154" i="6"/>
  <c r="E150" i="6"/>
  <c r="F150" i="6" s="1"/>
  <c r="E151" i="6"/>
  <c r="F151" i="6" s="1"/>
  <c r="J152" i="9" l="1"/>
  <c r="J156" i="9"/>
  <c r="J114" i="9"/>
  <c r="J144" i="9"/>
  <c r="G163" i="6"/>
  <c r="E84" i="9"/>
  <c r="F154" i="6"/>
  <c r="E85" i="9"/>
  <c r="E149" i="6"/>
  <c r="F149" i="6" s="1"/>
  <c r="E148" i="6"/>
  <c r="F148" i="6" s="1"/>
  <c r="E147" i="6"/>
  <c r="F147" i="6" s="1"/>
  <c r="E146" i="6"/>
  <c r="F146" i="6" s="1"/>
  <c r="E145" i="6"/>
  <c r="F145" i="6" s="1"/>
  <c r="E144" i="6"/>
  <c r="F144" i="6" s="1"/>
  <c r="E143" i="6"/>
  <c r="F143" i="6" s="1"/>
  <c r="J138" i="9" l="1"/>
  <c r="J145" i="9"/>
  <c r="J147" i="9"/>
  <c r="N78" i="9"/>
  <c r="N77" i="9"/>
  <c r="N79" i="9"/>
  <c r="N80" i="9"/>
  <c r="N81" i="9"/>
  <c r="N82" i="9"/>
  <c r="N125" i="9" l="1"/>
  <c r="G16" i="6"/>
  <c r="F116" i="6" l="1"/>
  <c r="E132" i="6"/>
  <c r="F132" i="6" s="1"/>
  <c r="E131" i="6"/>
  <c r="F131" i="6" s="1"/>
  <c r="E130" i="6"/>
  <c r="F130" i="6" s="1"/>
  <c r="E136" i="6"/>
  <c r="G136" i="6"/>
  <c r="E137" i="6"/>
  <c r="G137" i="6" s="1"/>
  <c r="E138" i="6"/>
  <c r="G138" i="6" s="1"/>
  <c r="E139" i="6"/>
  <c r="G139" i="6" s="1"/>
  <c r="E140" i="6"/>
  <c r="G140" i="6" s="1"/>
  <c r="E135" i="6"/>
  <c r="G135" i="6" s="1"/>
  <c r="E134" i="6"/>
  <c r="G134" i="6" s="1"/>
  <c r="E133" i="6"/>
  <c r="F133" i="6" s="1"/>
  <c r="J179" i="9" l="1"/>
  <c r="J181" i="9"/>
  <c r="J157" i="9"/>
  <c r="J197" i="9" l="1"/>
  <c r="G80" i="9"/>
  <c r="G79" i="9"/>
  <c r="G78" i="9" l="1"/>
  <c r="G77" i="9"/>
  <c r="H76" i="9"/>
  <c r="H125" i="9" s="1"/>
  <c r="G125" i="9" l="1"/>
  <c r="E120" i="6"/>
  <c r="F120" i="6" l="1"/>
  <c r="F83" i="9"/>
  <c r="E117" i="6"/>
  <c r="F117" i="6" s="1"/>
  <c r="E118" i="6"/>
  <c r="F118" i="6" s="1"/>
  <c r="E119" i="6"/>
  <c r="E129" i="6"/>
  <c r="E122" i="6"/>
  <c r="G122" i="6" s="1"/>
  <c r="E121" i="6"/>
  <c r="G121" i="6" s="1"/>
  <c r="E127" i="6"/>
  <c r="E79" i="9" s="1"/>
  <c r="E126" i="6"/>
  <c r="G126" i="6" s="1"/>
  <c r="E124" i="6"/>
  <c r="G124" i="6" s="1"/>
  <c r="E123" i="6"/>
  <c r="G123" i="6" s="1"/>
  <c r="K54" i="7"/>
  <c r="K55" i="7"/>
  <c r="K56" i="7"/>
  <c r="K57" i="7"/>
  <c r="K58" i="7"/>
  <c r="K59" i="7"/>
  <c r="K60" i="7"/>
  <c r="K61" i="7"/>
  <c r="D54" i="7"/>
  <c r="D55" i="7"/>
  <c r="D56" i="7"/>
  <c r="D57" i="7"/>
  <c r="D58" i="7"/>
  <c r="D59" i="7"/>
  <c r="D60" i="7"/>
  <c r="D61" i="7"/>
  <c r="J112" i="9" l="1"/>
  <c r="F119" i="6"/>
  <c r="E191" i="6"/>
  <c r="G127" i="6"/>
  <c r="F129" i="6"/>
  <c r="F76" i="9"/>
  <c r="F125" i="9" s="1"/>
  <c r="O69" i="9"/>
  <c r="N69" i="9"/>
  <c r="G69" i="9"/>
  <c r="O68" i="9"/>
  <c r="N68" i="9"/>
  <c r="H68" i="9"/>
  <c r="O67" i="9"/>
  <c r="O66" i="9"/>
  <c r="N67" i="9"/>
  <c r="N66" i="9"/>
  <c r="H66" i="9"/>
  <c r="J76" i="9" l="1"/>
  <c r="J79" i="9"/>
  <c r="F191" i="6"/>
  <c r="G191" i="6"/>
  <c r="E96" i="6"/>
  <c r="G96" i="6" s="1"/>
  <c r="E109" i="6"/>
  <c r="F109" i="6" s="1"/>
  <c r="E108" i="6"/>
  <c r="F108" i="6" s="1"/>
  <c r="E107" i="6"/>
  <c r="F107" i="6" s="1"/>
  <c r="J150" i="9" s="1"/>
  <c r="E106" i="6"/>
  <c r="F106" i="6" s="1"/>
  <c r="J100" i="9" s="1"/>
  <c r="E105" i="6"/>
  <c r="F105" i="6" s="1"/>
  <c r="E104" i="6"/>
  <c r="F104" i="6" s="1"/>
  <c r="E100" i="6"/>
  <c r="E77" i="9" s="1"/>
  <c r="E101" i="6"/>
  <c r="E78" i="9" s="1"/>
  <c r="E102" i="6"/>
  <c r="G102" i="6" s="1"/>
  <c r="E103" i="6"/>
  <c r="G103" i="6" s="1"/>
  <c r="E110" i="6"/>
  <c r="G110" i="6" s="1"/>
  <c r="E111" i="6"/>
  <c r="H65" i="9"/>
  <c r="F65" i="9" s="1"/>
  <c r="J65" i="9" s="1"/>
  <c r="O64" i="9"/>
  <c r="N64" i="9"/>
  <c r="H64" i="9"/>
  <c r="G100" i="6" l="1"/>
  <c r="J77" i="9" s="1"/>
  <c r="J103" i="9"/>
  <c r="J105" i="9"/>
  <c r="G101" i="6"/>
  <c r="J78" i="9" s="1"/>
  <c r="O63" i="9" l="1"/>
  <c r="N63" i="9"/>
  <c r="G63" i="9"/>
  <c r="O62" i="9" l="1"/>
  <c r="O61" i="9"/>
  <c r="N62" i="9"/>
  <c r="N61" i="9"/>
  <c r="G62" i="9"/>
  <c r="G61" i="9"/>
  <c r="O60" i="9" l="1"/>
  <c r="N60" i="9"/>
  <c r="G60" i="9"/>
  <c r="N59" i="9" l="1"/>
  <c r="O59" i="9"/>
  <c r="N58" i="9"/>
  <c r="G59" i="9"/>
  <c r="G58" i="9"/>
  <c r="O57" i="9"/>
  <c r="N57" i="9"/>
  <c r="G57" i="9"/>
  <c r="G56" i="9" l="1"/>
  <c r="E55" i="9" l="1"/>
  <c r="E56" i="9"/>
  <c r="I42" i="9" l="1"/>
  <c r="I43" i="9"/>
  <c r="I44" i="9"/>
  <c r="I45" i="9"/>
  <c r="I46" i="9"/>
  <c r="I47" i="9"/>
  <c r="I41" i="9"/>
  <c r="G50" i="9"/>
  <c r="G49" i="9"/>
  <c r="G48" i="9"/>
  <c r="I74" i="9" l="1"/>
  <c r="E91" i="6"/>
  <c r="F67" i="9" s="1"/>
  <c r="E90" i="6"/>
  <c r="F66" i="9" s="1"/>
  <c r="E92" i="6"/>
  <c r="P74" i="9" l="1"/>
  <c r="O74" i="9"/>
  <c r="N74" i="9"/>
  <c r="F91" i="6"/>
  <c r="J67" i="9" s="1"/>
  <c r="F92" i="6"/>
  <c r="F90" i="6"/>
  <c r="J66" i="9" s="1"/>
  <c r="E93" i="6"/>
  <c r="E94" i="6"/>
  <c r="E95" i="6"/>
  <c r="E97" i="6"/>
  <c r="G97" i="6" s="1"/>
  <c r="E98" i="6"/>
  <c r="E99" i="6"/>
  <c r="G99" i="6" s="1"/>
  <c r="G95" i="6" l="1"/>
  <c r="J80" i="9" s="1"/>
  <c r="E80" i="9"/>
  <c r="E125" i="9" s="1"/>
  <c r="G94" i="6"/>
  <c r="J63" i="9" s="1"/>
  <c r="E63" i="9"/>
  <c r="G93" i="6"/>
  <c r="J60" i="9" s="1"/>
  <c r="E60" i="9"/>
  <c r="G98" i="6"/>
  <c r="K18" i="7"/>
  <c r="K19" i="7"/>
  <c r="D18" i="7"/>
  <c r="D19" i="7"/>
  <c r="K14" i="7"/>
  <c r="D14" i="7"/>
  <c r="K15" i="7"/>
  <c r="K16" i="7"/>
  <c r="K17" i="7"/>
  <c r="D15" i="7"/>
  <c r="D16" i="7"/>
  <c r="D17" i="7"/>
  <c r="G40" i="9" l="1"/>
  <c r="G39" i="9" l="1"/>
  <c r="G38" i="9"/>
  <c r="G37" i="9"/>
  <c r="G36" i="9"/>
  <c r="G35" i="9"/>
  <c r="E113" i="6" l="1"/>
  <c r="E89" i="6"/>
  <c r="G89" i="6" s="1"/>
  <c r="E88" i="6"/>
  <c r="E87" i="6"/>
  <c r="G87" i="6" s="1"/>
  <c r="E86" i="6"/>
  <c r="E85" i="6"/>
  <c r="E84" i="6"/>
  <c r="E83" i="6"/>
  <c r="G83" i="6" s="1"/>
  <c r="J154" i="9" s="1"/>
  <c r="E82" i="6"/>
  <c r="G82" i="6" s="1"/>
  <c r="E74" i="6"/>
  <c r="G74" i="6" s="1"/>
  <c r="E73" i="6"/>
  <c r="G73" i="6" s="1"/>
  <c r="G86" i="6" l="1"/>
  <c r="J69" i="9" s="1"/>
  <c r="E69" i="9"/>
  <c r="G84" i="6"/>
  <c r="J58" i="9" s="1"/>
  <c r="E58" i="9"/>
  <c r="G85" i="6"/>
  <c r="J59" i="9" s="1"/>
  <c r="E59" i="9"/>
  <c r="G88" i="6"/>
  <c r="J57" i="9" s="1"/>
  <c r="E57" i="9"/>
  <c r="G113" i="6"/>
  <c r="F113" i="6"/>
  <c r="E59" i="6"/>
  <c r="F59" i="6" s="1"/>
  <c r="P27" i="9" l="1"/>
  <c r="O27" i="9"/>
  <c r="N27" i="9"/>
  <c r="H11" i="3" l="1"/>
  <c r="I11" i="3"/>
  <c r="J11" i="3"/>
  <c r="H12" i="3"/>
  <c r="I12" i="3"/>
  <c r="J12" i="3"/>
  <c r="H13" i="3"/>
  <c r="I13" i="3"/>
  <c r="J13" i="3"/>
  <c r="H14" i="3"/>
  <c r="I14" i="3"/>
  <c r="J14" i="3"/>
  <c r="H15" i="3"/>
  <c r="I15" i="3"/>
  <c r="J15" i="3"/>
  <c r="H16" i="3"/>
  <c r="I16" i="3"/>
  <c r="J16" i="3"/>
  <c r="H17" i="3"/>
  <c r="I17" i="3"/>
  <c r="J17" i="3"/>
  <c r="H18" i="3"/>
  <c r="I18" i="3"/>
  <c r="J18" i="3"/>
  <c r="H19" i="3"/>
  <c r="I19" i="3"/>
  <c r="J19" i="3"/>
  <c r="H20" i="3"/>
  <c r="I20" i="3"/>
  <c r="J20" i="3"/>
  <c r="K20" i="3" s="1"/>
  <c r="K16" i="3" l="1"/>
  <c r="K14" i="3"/>
  <c r="K13" i="3"/>
  <c r="K18" i="3"/>
  <c r="K19" i="3"/>
  <c r="K12" i="3"/>
  <c r="K15" i="3"/>
  <c r="K17" i="3"/>
  <c r="K11" i="3"/>
  <c r="J10" i="3"/>
  <c r="I10" i="3"/>
  <c r="H10" i="3"/>
  <c r="K10" i="3" l="1"/>
  <c r="E58" i="6" l="1"/>
  <c r="E57" i="6"/>
  <c r="F57" i="6" s="1"/>
  <c r="E56" i="6"/>
  <c r="F56" i="6" s="1"/>
  <c r="K11" i="7"/>
  <c r="K12" i="7"/>
  <c r="D11" i="7"/>
  <c r="D12" i="7"/>
  <c r="F58" i="6" l="1"/>
  <c r="K28" i="7"/>
  <c r="K29" i="7"/>
  <c r="K30" i="7"/>
  <c r="K31" i="7"/>
  <c r="K32" i="7"/>
  <c r="K33" i="7"/>
  <c r="K34" i="7"/>
  <c r="K35" i="7"/>
  <c r="K36" i="7"/>
  <c r="K37" i="7"/>
  <c r="D28" i="7"/>
  <c r="D29" i="7"/>
  <c r="D30" i="7"/>
  <c r="D31" i="7"/>
  <c r="D32" i="7"/>
  <c r="D33" i="7"/>
  <c r="D34" i="7"/>
  <c r="D35" i="7"/>
  <c r="D36" i="7"/>
  <c r="D37" i="7"/>
  <c r="H30" i="9" l="1"/>
  <c r="H74" i="9" s="1"/>
  <c r="I27" i="9"/>
  <c r="I232" i="9" s="1"/>
  <c r="F21" i="9"/>
  <c r="F20" i="9"/>
  <c r="E7" i="9"/>
  <c r="E8" i="9"/>
  <c r="E9" i="9"/>
  <c r="E10" i="9"/>
  <c r="E16" i="9"/>
  <c r="E22" i="9"/>
  <c r="E23" i="9"/>
  <c r="E24" i="9"/>
  <c r="E25" i="9"/>
  <c r="E41" i="9"/>
  <c r="E42" i="9"/>
  <c r="E43" i="9"/>
  <c r="E44" i="9"/>
  <c r="E45" i="9"/>
  <c r="E46" i="9"/>
  <c r="E47" i="9"/>
  <c r="E73" i="9"/>
  <c r="E217" i="9"/>
  <c r="E218" i="9" s="1"/>
  <c r="E220" i="9"/>
  <c r="E221" i="9" s="1"/>
  <c r="E223" i="9"/>
  <c r="E224" i="9" s="1"/>
  <c r="E225" i="9" s="1"/>
  <c r="E226" i="9"/>
  <c r="E229" i="9"/>
  <c r="E230" i="9" s="1"/>
  <c r="G230" i="9"/>
  <c r="G227" i="9"/>
  <c r="G224" i="9"/>
  <c r="G221" i="9"/>
  <c r="G218" i="9"/>
  <c r="G215" i="9"/>
  <c r="K27" i="9"/>
  <c r="K232" i="9" s="1"/>
  <c r="H27" i="9"/>
  <c r="G27" i="9"/>
  <c r="E227" i="9" l="1"/>
  <c r="H232" i="9"/>
  <c r="G74" i="9"/>
  <c r="G232" i="9" s="1"/>
  <c r="F27" i="9"/>
  <c r="I114" i="6" l="1"/>
  <c r="E55" i="6"/>
  <c r="E60" i="6"/>
  <c r="E61" i="6"/>
  <c r="E62" i="6"/>
  <c r="E63" i="6"/>
  <c r="E64" i="6"/>
  <c r="E65" i="6"/>
  <c r="E66" i="6"/>
  <c r="G66" i="6" s="1"/>
  <c r="E67" i="6"/>
  <c r="G67" i="6" s="1"/>
  <c r="E68" i="6"/>
  <c r="E48" i="9" s="1"/>
  <c r="E69" i="6"/>
  <c r="E70" i="6"/>
  <c r="G70" i="6" s="1"/>
  <c r="E71" i="6"/>
  <c r="E72" i="6"/>
  <c r="G72" i="6" s="1"/>
  <c r="G68" i="6" l="1"/>
  <c r="J48" i="9" s="1"/>
  <c r="G64" i="6"/>
  <c r="J61" i="9" s="1"/>
  <c r="E61" i="9"/>
  <c r="G60" i="6"/>
  <c r="E51" i="9"/>
  <c r="G63" i="6"/>
  <c r="J54" i="9" s="1"/>
  <c r="E54" i="9"/>
  <c r="G62" i="6"/>
  <c r="J53" i="9" s="1"/>
  <c r="E53" i="9"/>
  <c r="G69" i="6"/>
  <c r="J49" i="9" s="1"/>
  <c r="E49" i="9"/>
  <c r="G65" i="6"/>
  <c r="J62" i="9" s="1"/>
  <c r="E62" i="9"/>
  <c r="G61" i="6"/>
  <c r="J52" i="9" s="1"/>
  <c r="E52" i="9"/>
  <c r="G71" i="6"/>
  <c r="J40" i="9" s="1"/>
  <c r="E40" i="9"/>
  <c r="B10" i="3"/>
  <c r="F55" i="6"/>
  <c r="J113" i="9" s="1"/>
  <c r="AV262" i="7"/>
  <c r="AU262" i="7"/>
  <c r="AT262" i="7"/>
  <c r="AS262" i="7"/>
  <c r="AR262" i="7"/>
  <c r="AQ262" i="7"/>
  <c r="AP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J262" i="7"/>
  <c r="I262" i="7"/>
  <c r="H262" i="7"/>
  <c r="G262" i="7"/>
  <c r="F262" i="7"/>
  <c r="BG261" i="7"/>
  <c r="BG262" i="7" s="1"/>
  <c r="K261" i="7"/>
  <c r="D261" i="7"/>
  <c r="K260" i="7"/>
  <c r="D260" i="7"/>
  <c r="K255" i="7"/>
  <c r="D255" i="7"/>
  <c r="K254" i="7"/>
  <c r="D254" i="7"/>
  <c r="K253" i="7"/>
  <c r="D253" i="7"/>
  <c r="K252" i="7"/>
  <c r="D252" i="7"/>
  <c r="K251" i="7"/>
  <c r="D251" i="7"/>
  <c r="K250" i="7"/>
  <c r="D250" i="7"/>
  <c r="K249" i="7"/>
  <c r="D249" i="7"/>
  <c r="K248" i="7"/>
  <c r="D248" i="7"/>
  <c r="K247" i="7"/>
  <c r="D247" i="7"/>
  <c r="K246" i="7"/>
  <c r="D246" i="7"/>
  <c r="BG244" i="7"/>
  <c r="AV244" i="7"/>
  <c r="AU244" i="7"/>
  <c r="AT244" i="7"/>
  <c r="AS244" i="7"/>
  <c r="AR244" i="7"/>
  <c r="AQ244" i="7"/>
  <c r="AP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J244" i="7"/>
  <c r="I244" i="7"/>
  <c r="H244" i="7"/>
  <c r="G244" i="7"/>
  <c r="F244" i="7"/>
  <c r="K243" i="7"/>
  <c r="D243" i="7"/>
  <c r="D244" i="7" s="1"/>
  <c r="K242" i="7"/>
  <c r="D242" i="7"/>
  <c r="K241" i="7"/>
  <c r="D241" i="7"/>
  <c r="K240" i="7"/>
  <c r="D240" i="7"/>
  <c r="K239" i="7"/>
  <c r="D239" i="7"/>
  <c r="K238" i="7"/>
  <c r="D238" i="7"/>
  <c r="K237" i="7"/>
  <c r="D237" i="7"/>
  <c r="K236" i="7"/>
  <c r="D236" i="7"/>
  <c r="K235" i="7"/>
  <c r="D235" i="7"/>
  <c r="K234" i="7"/>
  <c r="D234" i="7"/>
  <c r="K233" i="7"/>
  <c r="D233" i="7"/>
  <c r="K232" i="7"/>
  <c r="D232" i="7"/>
  <c r="K231" i="7"/>
  <c r="D231" i="7"/>
  <c r="K230" i="7"/>
  <c r="D230" i="7"/>
  <c r="K229" i="7"/>
  <c r="D229" i="7"/>
  <c r="K228" i="7"/>
  <c r="D228" i="7"/>
  <c r="K227" i="7"/>
  <c r="D227" i="7"/>
  <c r="K226" i="7"/>
  <c r="D226" i="7"/>
  <c r="K225" i="7"/>
  <c r="D225" i="7"/>
  <c r="K224" i="7"/>
  <c r="D224" i="7"/>
  <c r="K223" i="7"/>
  <c r="AV222" i="7"/>
  <c r="AU222" i="7"/>
  <c r="AT222" i="7"/>
  <c r="AS222" i="7"/>
  <c r="AR222" i="7"/>
  <c r="AQ222" i="7"/>
  <c r="AP222" i="7"/>
  <c r="AN222" i="7"/>
  <c r="AM222" i="7"/>
  <c r="AL222" i="7"/>
  <c r="AK222" i="7"/>
  <c r="AJ222" i="7"/>
  <c r="AI222" i="7"/>
  <c r="AH222" i="7"/>
  <c r="AG222" i="7"/>
  <c r="AF222" i="7"/>
  <c r="AE222" i="7"/>
  <c r="AD222" i="7"/>
  <c r="AC222" i="7"/>
  <c r="AB222" i="7"/>
  <c r="AA222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M222" i="7"/>
  <c r="J222" i="7"/>
  <c r="I222" i="7"/>
  <c r="H222" i="7"/>
  <c r="G222" i="7"/>
  <c r="F222" i="7"/>
  <c r="BG221" i="7"/>
  <c r="BG222" i="7" s="1"/>
  <c r="K221" i="7"/>
  <c r="D221" i="7"/>
  <c r="K220" i="7"/>
  <c r="D220" i="7"/>
  <c r="K219" i="7"/>
  <c r="D219" i="7"/>
  <c r="K218" i="7"/>
  <c r="D218" i="7"/>
  <c r="K217" i="7"/>
  <c r="D217" i="7"/>
  <c r="K216" i="7"/>
  <c r="D216" i="7"/>
  <c r="K215" i="7"/>
  <c r="D215" i="7"/>
  <c r="K214" i="7"/>
  <c r="D214" i="7"/>
  <c r="K213" i="7"/>
  <c r="D213" i="7"/>
  <c r="K212" i="7"/>
  <c r="D212" i="7"/>
  <c r="K211" i="7"/>
  <c r="D211" i="7"/>
  <c r="AV209" i="7"/>
  <c r="AU209" i="7"/>
  <c r="AT209" i="7"/>
  <c r="AS209" i="7"/>
  <c r="AR209" i="7"/>
  <c r="AP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J209" i="7"/>
  <c r="I209" i="7"/>
  <c r="H209" i="7"/>
  <c r="G209" i="7"/>
  <c r="F209" i="7"/>
  <c r="BG208" i="7"/>
  <c r="BG209" i="7" s="1"/>
  <c r="K208" i="7"/>
  <c r="D208" i="7"/>
  <c r="K207" i="7"/>
  <c r="D207" i="7"/>
  <c r="K206" i="7"/>
  <c r="D206" i="7"/>
  <c r="K205" i="7"/>
  <c r="D205" i="7"/>
  <c r="K204" i="7"/>
  <c r="D204" i="7"/>
  <c r="K203" i="7"/>
  <c r="D203" i="7"/>
  <c r="K202" i="7"/>
  <c r="D202" i="7"/>
  <c r="K201" i="7"/>
  <c r="D201" i="7"/>
  <c r="K200" i="7"/>
  <c r="D200" i="7"/>
  <c r="K199" i="7"/>
  <c r="D199" i="7"/>
  <c r="K198" i="7"/>
  <c r="D198" i="7"/>
  <c r="K197" i="7"/>
  <c r="D197" i="7"/>
  <c r="K196" i="7"/>
  <c r="D196" i="7"/>
  <c r="K195" i="7"/>
  <c r="D195" i="7"/>
  <c r="K194" i="7"/>
  <c r="D194" i="7"/>
  <c r="K193" i="7"/>
  <c r="D193" i="7"/>
  <c r="K192" i="7"/>
  <c r="D192" i="7"/>
  <c r="K191" i="7"/>
  <c r="D191" i="7"/>
  <c r="K190" i="7"/>
  <c r="D190" i="7"/>
  <c r="K189" i="7"/>
  <c r="D189" i="7"/>
  <c r="K188" i="7"/>
  <c r="D188" i="7"/>
  <c r="K187" i="7"/>
  <c r="AV186" i="7"/>
  <c r="AU186" i="7"/>
  <c r="AT186" i="7"/>
  <c r="AS186" i="7"/>
  <c r="AR186" i="7"/>
  <c r="AQ186" i="7"/>
  <c r="AP186" i="7"/>
  <c r="AN186" i="7"/>
  <c r="AM186" i="7"/>
  <c r="AL186" i="7"/>
  <c r="AK186" i="7"/>
  <c r="AJ186" i="7"/>
  <c r="AI186" i="7"/>
  <c r="AH186" i="7"/>
  <c r="AG186" i="7"/>
  <c r="AF186" i="7"/>
  <c r="AE186" i="7"/>
  <c r="AD186" i="7"/>
  <c r="AC186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J186" i="7"/>
  <c r="I186" i="7"/>
  <c r="H186" i="7"/>
  <c r="G186" i="7"/>
  <c r="F186" i="7"/>
  <c r="BG185" i="7"/>
  <c r="BG186" i="7" s="1"/>
  <c r="K185" i="7"/>
  <c r="D185" i="7"/>
  <c r="K184" i="7"/>
  <c r="D184" i="7"/>
  <c r="K183" i="7"/>
  <c r="D183" i="7"/>
  <c r="K182" i="7"/>
  <c r="D182" i="7"/>
  <c r="K181" i="7"/>
  <c r="D181" i="7"/>
  <c r="K180" i="7"/>
  <c r="D180" i="7"/>
  <c r="K179" i="7"/>
  <c r="D179" i="7"/>
  <c r="K178" i="7"/>
  <c r="D178" i="7"/>
  <c r="K177" i="7"/>
  <c r="D177" i="7"/>
  <c r="K176" i="7"/>
  <c r="D176" i="7"/>
  <c r="K175" i="7"/>
  <c r="D175" i="7"/>
  <c r="K174" i="7"/>
  <c r="D174" i="7"/>
  <c r="K173" i="7"/>
  <c r="D173" i="7"/>
  <c r="K172" i="7"/>
  <c r="D172" i="7"/>
  <c r="K171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P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I170" i="7"/>
  <c r="H170" i="7"/>
  <c r="G170" i="7"/>
  <c r="F170" i="7"/>
  <c r="E170" i="7"/>
  <c r="BG169" i="7"/>
  <c r="BG170" i="7" s="1"/>
  <c r="K169" i="7"/>
  <c r="D169" i="7"/>
  <c r="K168" i="7"/>
  <c r="D168" i="7"/>
  <c r="K167" i="7"/>
  <c r="D167" i="7"/>
  <c r="K166" i="7"/>
  <c r="D166" i="7"/>
  <c r="K165" i="7"/>
  <c r="D165" i="7"/>
  <c r="K164" i="7"/>
  <c r="D164" i="7"/>
  <c r="K163" i="7"/>
  <c r="D163" i="7"/>
  <c r="K162" i="7"/>
  <c r="D162" i="7"/>
  <c r="K161" i="7"/>
  <c r="D161" i="7"/>
  <c r="K160" i="7"/>
  <c r="D160" i="7"/>
  <c r="K159" i="7"/>
  <c r="D159" i="7"/>
  <c r="K158" i="7"/>
  <c r="D158" i="7"/>
  <c r="K157" i="7"/>
  <c r="D157" i="7"/>
  <c r="K156" i="7"/>
  <c r="D156" i="7"/>
  <c r="K155" i="7"/>
  <c r="D155" i="7"/>
  <c r="K154" i="7"/>
  <c r="BE153" i="7"/>
  <c r="BD153" i="7"/>
  <c r="BC153" i="7"/>
  <c r="BB153" i="7"/>
  <c r="BA153" i="7"/>
  <c r="AZ153" i="7"/>
  <c r="AY153" i="7"/>
  <c r="AX153" i="7"/>
  <c r="AW153" i="7"/>
  <c r="AV153" i="7"/>
  <c r="AU153" i="7"/>
  <c r="AT153" i="7"/>
  <c r="AS153" i="7"/>
  <c r="AR153" i="7"/>
  <c r="AQ153" i="7"/>
  <c r="AP153" i="7"/>
  <c r="AN153" i="7"/>
  <c r="AM153" i="7"/>
  <c r="AL153" i="7"/>
  <c r="AK153" i="7"/>
  <c r="AJ153" i="7"/>
  <c r="AI153" i="7"/>
  <c r="AH153" i="7"/>
  <c r="AG153" i="7"/>
  <c r="AF153" i="7"/>
  <c r="AE153" i="7"/>
  <c r="AD153" i="7"/>
  <c r="AC153" i="7"/>
  <c r="AB153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J153" i="7"/>
  <c r="I153" i="7"/>
  <c r="H153" i="7"/>
  <c r="G153" i="7"/>
  <c r="F153" i="7"/>
  <c r="E153" i="7"/>
  <c r="BG152" i="7"/>
  <c r="BG153" i="7" s="1"/>
  <c r="K151" i="7"/>
  <c r="D151" i="7"/>
  <c r="K150" i="7"/>
  <c r="D150" i="7"/>
  <c r="K149" i="7"/>
  <c r="D149" i="7"/>
  <c r="K148" i="7"/>
  <c r="D148" i="7"/>
  <c r="K147" i="7"/>
  <c r="D147" i="7"/>
  <c r="K146" i="7"/>
  <c r="D146" i="7"/>
  <c r="K145" i="7"/>
  <c r="D145" i="7"/>
  <c r="K144" i="7"/>
  <c r="D144" i="7"/>
  <c r="K143" i="7"/>
  <c r="D143" i="7"/>
  <c r="K142" i="7"/>
  <c r="D142" i="7"/>
  <c r="K141" i="7"/>
  <c r="D141" i="7"/>
  <c r="K140" i="7"/>
  <c r="D140" i="7"/>
  <c r="K139" i="7"/>
  <c r="D139" i="7"/>
  <c r="K138" i="7"/>
  <c r="D138" i="7"/>
  <c r="K137" i="7"/>
  <c r="D137" i="7"/>
  <c r="K136" i="7"/>
  <c r="D136" i="7"/>
  <c r="K135" i="7"/>
  <c r="D135" i="7"/>
  <c r="K134" i="7"/>
  <c r="D134" i="7"/>
  <c r="K133" i="7"/>
  <c r="D133" i="7"/>
  <c r="K132" i="7"/>
  <c r="BA131" i="7"/>
  <c r="AZ131" i="7"/>
  <c r="AY131" i="7"/>
  <c r="AX131" i="7"/>
  <c r="AW131" i="7"/>
  <c r="AV131" i="7"/>
  <c r="AU131" i="7"/>
  <c r="AT131" i="7"/>
  <c r="AS131" i="7"/>
  <c r="AR131" i="7"/>
  <c r="AQ131" i="7"/>
  <c r="AP131" i="7"/>
  <c r="AN131" i="7"/>
  <c r="AM131" i="7"/>
  <c r="AL131" i="7"/>
  <c r="AK131" i="7"/>
  <c r="AJ131" i="7"/>
  <c r="AI131" i="7"/>
  <c r="AE131" i="7"/>
  <c r="AD131" i="7"/>
  <c r="AC131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J131" i="7"/>
  <c r="I131" i="7"/>
  <c r="H131" i="7"/>
  <c r="G131" i="7"/>
  <c r="F131" i="7"/>
  <c r="E131" i="7"/>
  <c r="BG130" i="7"/>
  <c r="BG131" i="7" s="1"/>
  <c r="K125" i="7"/>
  <c r="D125" i="7"/>
  <c r="K124" i="7"/>
  <c r="D124" i="7"/>
  <c r="K123" i="7"/>
  <c r="D123" i="7"/>
  <c r="K122" i="7"/>
  <c r="D122" i="7"/>
  <c r="K121" i="7"/>
  <c r="D121" i="7"/>
  <c r="K120" i="7"/>
  <c r="D120" i="7"/>
  <c r="K119" i="7"/>
  <c r="D119" i="7"/>
  <c r="K118" i="7"/>
  <c r="D118" i="7"/>
  <c r="K117" i="7"/>
  <c r="K116" i="7"/>
  <c r="D116" i="7"/>
  <c r="K115" i="7"/>
  <c r="D115" i="7"/>
  <c r="K114" i="7"/>
  <c r="K110" i="7"/>
  <c r="D110" i="7"/>
  <c r="K109" i="7"/>
  <c r="D109" i="7"/>
  <c r="K108" i="7"/>
  <c r="D108" i="7"/>
  <c r="K107" i="7"/>
  <c r="D107" i="7"/>
  <c r="K106" i="7"/>
  <c r="D106" i="7"/>
  <c r="K105" i="7"/>
  <c r="D105" i="7"/>
  <c r="K104" i="7"/>
  <c r="D104" i="7"/>
  <c r="K103" i="7"/>
  <c r="D103" i="7"/>
  <c r="K102" i="7"/>
  <c r="D102" i="7"/>
  <c r="K101" i="7"/>
  <c r="D101" i="7"/>
  <c r="K100" i="7"/>
  <c r="D100" i="7"/>
  <c r="K99" i="7"/>
  <c r="D99" i="7"/>
  <c r="K98" i="7"/>
  <c r="D98" i="7"/>
  <c r="K97" i="7"/>
  <c r="D97" i="7"/>
  <c r="K96" i="7"/>
  <c r="D96" i="7"/>
  <c r="K95" i="7"/>
  <c r="D95" i="7"/>
  <c r="K94" i="7"/>
  <c r="D94" i="7"/>
  <c r="K93" i="7"/>
  <c r="D93" i="7"/>
  <c r="K92" i="7"/>
  <c r="D92" i="7"/>
  <c r="K91" i="7"/>
  <c r="D91" i="7"/>
  <c r="BA89" i="7"/>
  <c r="AZ89" i="7"/>
  <c r="AY89" i="7"/>
  <c r="AX89" i="7"/>
  <c r="AW89" i="7"/>
  <c r="AV89" i="7"/>
  <c r="AU89" i="7"/>
  <c r="AT89" i="7"/>
  <c r="AS89" i="7"/>
  <c r="AR89" i="7"/>
  <c r="AQ89" i="7"/>
  <c r="AP89" i="7"/>
  <c r="AN89" i="7"/>
  <c r="AM89" i="7"/>
  <c r="AL89" i="7"/>
  <c r="AK89" i="7"/>
  <c r="AJ89" i="7"/>
  <c r="AI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I89" i="7"/>
  <c r="H89" i="7"/>
  <c r="G89" i="7"/>
  <c r="F89" i="7"/>
  <c r="E89" i="7"/>
  <c r="BG88" i="7"/>
  <c r="BG89" i="7" s="1"/>
  <c r="K79" i="7"/>
  <c r="D79" i="7"/>
  <c r="K78" i="7"/>
  <c r="D78" i="7"/>
  <c r="K77" i="7"/>
  <c r="D77" i="7"/>
  <c r="K76" i="7"/>
  <c r="D76" i="7"/>
  <c r="K75" i="7"/>
  <c r="D75" i="7"/>
  <c r="K74" i="7"/>
  <c r="D74" i="7"/>
  <c r="K73" i="7"/>
  <c r="D73" i="7"/>
  <c r="K72" i="7"/>
  <c r="D72" i="7"/>
  <c r="K71" i="7"/>
  <c r="D71" i="7"/>
  <c r="K70" i="7"/>
  <c r="D70" i="7"/>
  <c r="K69" i="7"/>
  <c r="D69" i="7"/>
  <c r="K68" i="7"/>
  <c r="D68" i="7"/>
  <c r="K67" i="7"/>
  <c r="D67" i="7"/>
  <c r="K66" i="7"/>
  <c r="D66" i="7"/>
  <c r="BA63" i="7"/>
  <c r="AZ63" i="7"/>
  <c r="AY63" i="7"/>
  <c r="AX63" i="7"/>
  <c r="AW63" i="7"/>
  <c r="AV63" i="7"/>
  <c r="AU63" i="7"/>
  <c r="AT63" i="7"/>
  <c r="AS63" i="7"/>
  <c r="AR63" i="7"/>
  <c r="AQ63" i="7"/>
  <c r="AP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J63" i="7"/>
  <c r="I63" i="7"/>
  <c r="H63" i="7"/>
  <c r="G63" i="7"/>
  <c r="F63" i="7"/>
  <c r="E63" i="7"/>
  <c r="BG62" i="7"/>
  <c r="BG63" i="7" s="1"/>
  <c r="K62" i="7"/>
  <c r="K53" i="7"/>
  <c r="D53" i="7"/>
  <c r="K52" i="7"/>
  <c r="D52" i="7"/>
  <c r="K51" i="7"/>
  <c r="D51" i="7"/>
  <c r="K50" i="7"/>
  <c r="D50" i="7"/>
  <c r="K49" i="7"/>
  <c r="D49" i="7"/>
  <c r="K48" i="7"/>
  <c r="D48" i="7"/>
  <c r="K47" i="7"/>
  <c r="D47" i="7"/>
  <c r="K46" i="7"/>
  <c r="D46" i="7"/>
  <c r="K45" i="7"/>
  <c r="D45" i="7"/>
  <c r="K44" i="7"/>
  <c r="D44" i="7"/>
  <c r="K43" i="7"/>
  <c r="D43" i="7"/>
  <c r="K42" i="7"/>
  <c r="D42" i="7"/>
  <c r="K41" i="7"/>
  <c r="D41" i="7"/>
  <c r="AY39" i="7"/>
  <c r="AX39" i="7"/>
  <c r="AW39" i="7"/>
  <c r="AV39" i="7"/>
  <c r="AU39" i="7"/>
  <c r="AT39" i="7"/>
  <c r="AS39" i="7"/>
  <c r="AR39" i="7"/>
  <c r="AQ39" i="7"/>
  <c r="AP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J39" i="7"/>
  <c r="I39" i="7"/>
  <c r="H39" i="7"/>
  <c r="J9" i="3" s="1"/>
  <c r="G39" i="7"/>
  <c r="I9" i="3" s="1"/>
  <c r="F39" i="7"/>
  <c r="H9" i="3" s="1"/>
  <c r="E39" i="7"/>
  <c r="BG38" i="7"/>
  <c r="K27" i="7"/>
  <c r="D27" i="7"/>
  <c r="K26" i="7"/>
  <c r="D26" i="7"/>
  <c r="K25" i="7"/>
  <c r="D25" i="7"/>
  <c r="K24" i="7"/>
  <c r="D24" i="7"/>
  <c r="BG23" i="7"/>
  <c r="K23" i="7"/>
  <c r="D23" i="7"/>
  <c r="BG22" i="7"/>
  <c r="K22" i="7"/>
  <c r="D22" i="7"/>
  <c r="BG21" i="7"/>
  <c r="K21" i="7"/>
  <c r="D21" i="7"/>
  <c r="BG20" i="7"/>
  <c r="K20" i="7"/>
  <c r="D20" i="7"/>
  <c r="BG10" i="7"/>
  <c r="K10" i="7"/>
  <c r="D10" i="7"/>
  <c r="BG9" i="7"/>
  <c r="K9" i="7"/>
  <c r="D9" i="7"/>
  <c r="BG8" i="7"/>
  <c r="K8" i="7"/>
  <c r="D8" i="7"/>
  <c r="BG7" i="7"/>
  <c r="K7" i="7"/>
  <c r="D7" i="7"/>
  <c r="F31" i="6"/>
  <c r="F33" i="6"/>
  <c r="G7" i="6"/>
  <c r="G8" i="6"/>
  <c r="G9" i="6"/>
  <c r="G10" i="6"/>
  <c r="G36" i="6"/>
  <c r="G37" i="6"/>
  <c r="G38" i="6"/>
  <c r="G39" i="6"/>
  <c r="E50" i="6"/>
  <c r="E51" i="6"/>
  <c r="E40" i="6"/>
  <c r="E41" i="6"/>
  <c r="G41" i="6" s="1"/>
  <c r="J134" i="9" s="1"/>
  <c r="E42" i="6"/>
  <c r="G42" i="6" s="1"/>
  <c r="J56" i="9" s="1"/>
  <c r="E43" i="6"/>
  <c r="E44" i="6"/>
  <c r="E45" i="6"/>
  <c r="E46" i="6"/>
  <c r="G46" i="6" s="1"/>
  <c r="E47" i="6"/>
  <c r="E48" i="6"/>
  <c r="E49" i="6"/>
  <c r="K244" i="7" l="1"/>
  <c r="D112" i="7"/>
  <c r="F114" i="6"/>
  <c r="AK263" i="7"/>
  <c r="AT263" i="7"/>
  <c r="J51" i="9"/>
  <c r="J106" i="9"/>
  <c r="K262" i="7"/>
  <c r="M263" i="7"/>
  <c r="U263" i="7"/>
  <c r="AC263" i="7"/>
  <c r="K209" i="7"/>
  <c r="G51" i="6"/>
  <c r="J39" i="9" s="1"/>
  <c r="E39" i="9"/>
  <c r="G45" i="6"/>
  <c r="J35" i="9" s="1"/>
  <c r="E35" i="9"/>
  <c r="G50" i="6"/>
  <c r="J38" i="9" s="1"/>
  <c r="E38" i="9"/>
  <c r="G47" i="6"/>
  <c r="J36" i="9" s="1"/>
  <c r="E36" i="9"/>
  <c r="G48" i="6"/>
  <c r="J37" i="9" s="1"/>
  <c r="E37" i="9"/>
  <c r="G40" i="6"/>
  <c r="J34" i="9" s="1"/>
  <c r="E34" i="9"/>
  <c r="K9" i="3"/>
  <c r="D153" i="7"/>
  <c r="G44" i="6"/>
  <c r="E32" i="9"/>
  <c r="J32" i="9" s="1"/>
  <c r="G43" i="6"/>
  <c r="E31" i="9"/>
  <c r="G49" i="6"/>
  <c r="E29" i="9"/>
  <c r="N263" i="7"/>
  <c r="AD263" i="7"/>
  <c r="AU263" i="7"/>
  <c r="O263" i="7"/>
  <c r="AE263" i="7"/>
  <c r="AV263" i="7"/>
  <c r="P263" i="7"/>
  <c r="AF263" i="7"/>
  <c r="Q263" i="7"/>
  <c r="Y263" i="7"/>
  <c r="AG263" i="7"/>
  <c r="AP263" i="7"/>
  <c r="R263" i="7"/>
  <c r="Z263" i="7"/>
  <c r="AH263" i="7"/>
  <c r="AQ263" i="7"/>
  <c r="K186" i="7"/>
  <c r="V263" i="7"/>
  <c r="AL263" i="7"/>
  <c r="E263" i="7"/>
  <c r="W263" i="7"/>
  <c r="AM263" i="7"/>
  <c r="AO263" i="7"/>
  <c r="X263" i="7"/>
  <c r="AN263" i="7"/>
  <c r="S263" i="7"/>
  <c r="AA263" i="7"/>
  <c r="AI263" i="7"/>
  <c r="AR263" i="7"/>
  <c r="T263" i="7"/>
  <c r="AB263" i="7"/>
  <c r="AJ263" i="7"/>
  <c r="AS263" i="7"/>
  <c r="D186" i="7"/>
  <c r="BG39" i="7"/>
  <c r="BG263" i="7" s="1"/>
  <c r="D262" i="7"/>
  <c r="K222" i="7"/>
  <c r="D222" i="7"/>
  <c r="D209" i="7"/>
  <c r="D170" i="7"/>
  <c r="K153" i="7"/>
  <c r="D131" i="7"/>
  <c r="K131" i="7"/>
  <c r="D89" i="7"/>
  <c r="I263" i="7"/>
  <c r="G263" i="7"/>
  <c r="K63" i="7"/>
  <c r="H263" i="7"/>
  <c r="D63" i="7"/>
  <c r="F263" i="7"/>
  <c r="K39" i="7"/>
  <c r="D39" i="7"/>
  <c r="J170" i="7"/>
  <c r="K170" i="7" s="1"/>
  <c r="J89" i="7"/>
  <c r="K89" i="7" s="1"/>
  <c r="J31" i="9" l="1"/>
  <c r="D263" i="7"/>
  <c r="J263" i="7"/>
  <c r="J26" i="3"/>
  <c r="B20" i="3"/>
  <c r="B19" i="3"/>
  <c r="B18" i="3"/>
  <c r="B17" i="3"/>
  <c r="B16" i="3"/>
  <c r="B15" i="3"/>
  <c r="B14" i="3"/>
  <c r="B13" i="3"/>
  <c r="B12" i="3"/>
  <c r="B11" i="3"/>
  <c r="I53" i="6"/>
  <c r="B9" i="3" l="1"/>
  <c r="B21" i="3" s="1"/>
  <c r="I26" i="3" s="1"/>
  <c r="I359" i="6"/>
  <c r="K263" i="7"/>
  <c r="J31" i="3"/>
  <c r="E27" i="6"/>
  <c r="G27" i="6" s="1"/>
  <c r="E28" i="6"/>
  <c r="G28" i="6" l="1"/>
  <c r="E19" i="9"/>
  <c r="M26" i="3"/>
  <c r="E29" i="6"/>
  <c r="F29" i="6" l="1"/>
  <c r="J68" i="9" s="1"/>
  <c r="F68" i="9"/>
  <c r="E21" i="6"/>
  <c r="F21" i="6" s="1"/>
  <c r="E22" i="6"/>
  <c r="F22" i="6" s="1"/>
  <c r="E23" i="6"/>
  <c r="E24" i="6"/>
  <c r="F24" i="6" s="1"/>
  <c r="E25" i="6"/>
  <c r="E26" i="6"/>
  <c r="F26" i="6" s="1"/>
  <c r="E30" i="6"/>
  <c r="E32" i="6"/>
  <c r="E34" i="6"/>
  <c r="E35" i="6"/>
  <c r="G35" i="6" s="1"/>
  <c r="E20" i="6"/>
  <c r="G20" i="6" s="1"/>
  <c r="E19" i="6"/>
  <c r="G19" i="6" s="1"/>
  <c r="J155" i="9" s="1"/>
  <c r="J159" i="9" s="1"/>
  <c r="E18" i="6"/>
  <c r="E17" i="6"/>
  <c r="E15" i="6"/>
  <c r="E14" i="6"/>
  <c r="E13" i="6"/>
  <c r="E12" i="6"/>
  <c r="E11" i="6"/>
  <c r="E6" i="6"/>
  <c r="G6" i="6" l="1"/>
  <c r="E6" i="9"/>
  <c r="J6" i="9" s="1"/>
  <c r="F30" i="6"/>
  <c r="J64" i="9" s="1"/>
  <c r="F64" i="9"/>
  <c r="F25" i="6"/>
  <c r="J50" i="9" s="1"/>
  <c r="E50" i="9"/>
  <c r="E74" i="9" s="1"/>
  <c r="G14" i="6"/>
  <c r="E14" i="9"/>
  <c r="J14" i="9" s="1"/>
  <c r="F32" i="6"/>
  <c r="F30" i="9"/>
  <c r="G15" i="6"/>
  <c r="E15" i="9"/>
  <c r="G17" i="6"/>
  <c r="E17" i="9"/>
  <c r="J17" i="9" s="1"/>
  <c r="G18" i="6"/>
  <c r="E18" i="9"/>
  <c r="J18" i="9" s="1"/>
  <c r="G11" i="6"/>
  <c r="E11" i="9"/>
  <c r="G12" i="6"/>
  <c r="E12" i="9"/>
  <c r="J12" i="9" s="1"/>
  <c r="G13" i="6"/>
  <c r="J107" i="9" s="1"/>
  <c r="J125" i="9" s="1"/>
  <c r="E13" i="9"/>
  <c r="F34" i="6"/>
  <c r="J33" i="9" s="1"/>
  <c r="F33" i="9"/>
  <c r="F23" i="6"/>
  <c r="G23" i="6"/>
  <c r="F53" i="6" l="1"/>
  <c r="F359" i="6" s="1"/>
  <c r="J11" i="9"/>
  <c r="J27" i="9" s="1"/>
  <c r="E27" i="9"/>
  <c r="E232" i="9" s="1"/>
  <c r="F74" i="9"/>
  <c r="F232" i="9" s="1"/>
  <c r="J30" i="9"/>
  <c r="J74" i="9" s="1"/>
  <c r="J232" i="9" l="1"/>
  <c r="H354" i="6" l="1"/>
  <c r="F19" i="3" s="1"/>
  <c r="M19" i="3" s="1"/>
  <c r="E350" i="6" l="1"/>
  <c r="G350" i="6" s="1"/>
  <c r="E341" i="6" l="1"/>
  <c r="G341" i="6" s="1"/>
  <c r="E338" i="6" l="1"/>
  <c r="G338" i="6" s="1"/>
  <c r="E278" i="6" l="1"/>
  <c r="G278" i="6" l="1"/>
  <c r="G279" i="6" s="1"/>
  <c r="E279" i="6"/>
  <c r="E234" i="6"/>
  <c r="G234" i="6" l="1"/>
  <c r="G235" i="6" s="1"/>
  <c r="E235" i="6"/>
  <c r="E347" i="6"/>
  <c r="G347" i="6" s="1"/>
  <c r="E344" i="6"/>
  <c r="G344" i="6" s="1"/>
  <c r="H357" i="6" l="1"/>
  <c r="F20" i="3" s="1"/>
  <c r="M20" i="3" s="1"/>
  <c r="E356" i="6"/>
  <c r="G356" i="6" s="1"/>
  <c r="E355" i="6"/>
  <c r="G355" i="6" s="1"/>
  <c r="E353" i="6"/>
  <c r="G353" i="6" s="1"/>
  <c r="E352" i="6"/>
  <c r="H351" i="6"/>
  <c r="F18" i="3" s="1"/>
  <c r="M18" i="3" s="1"/>
  <c r="E349" i="6"/>
  <c r="G349" i="6" s="1"/>
  <c r="H348" i="6"/>
  <c r="F17" i="3" s="1"/>
  <c r="M17" i="3" s="1"/>
  <c r="E346" i="6"/>
  <c r="G346" i="6" s="1"/>
  <c r="H345" i="6"/>
  <c r="F16" i="3" s="1"/>
  <c r="M16" i="3" s="1"/>
  <c r="E343" i="6"/>
  <c r="G343" i="6" s="1"/>
  <c r="H342" i="6"/>
  <c r="F15" i="3" s="1"/>
  <c r="M15" i="3" s="1"/>
  <c r="E340" i="6"/>
  <c r="G340" i="6" s="1"/>
  <c r="E280" i="6"/>
  <c r="G280" i="6" s="1"/>
  <c r="F13" i="3"/>
  <c r="M13" i="3" s="1"/>
  <c r="E236" i="6"/>
  <c r="G236" i="6" s="1"/>
  <c r="F12" i="3"/>
  <c r="M12" i="3" s="1"/>
  <c r="E192" i="6"/>
  <c r="G192" i="6" s="1"/>
  <c r="H114" i="6"/>
  <c r="D10" i="3" s="1"/>
  <c r="G352" i="6" l="1"/>
  <c r="E354" i="6"/>
  <c r="D19" i="3" s="1"/>
  <c r="E13" i="3"/>
  <c r="D13" i="3"/>
  <c r="E348" i="6"/>
  <c r="D17" i="3" s="1"/>
  <c r="D12" i="3"/>
  <c r="J27" i="3"/>
  <c r="J29" i="3" s="1"/>
  <c r="J33" i="3" s="1"/>
  <c r="E342" i="6"/>
  <c r="D15" i="3" s="1"/>
  <c r="E345" i="6"/>
  <c r="D16" i="3" s="1"/>
  <c r="E114" i="6"/>
  <c r="G351" i="6"/>
  <c r="E18" i="3" s="1"/>
  <c r="D11" i="3"/>
  <c r="E357" i="6"/>
  <c r="D20" i="3" s="1"/>
  <c r="I21" i="3"/>
  <c r="E53" i="6"/>
  <c r="G345" i="6"/>
  <c r="E16" i="3" s="1"/>
  <c r="G342" i="6"/>
  <c r="E15" i="3" s="1"/>
  <c r="E351" i="6"/>
  <c r="D18" i="3" s="1"/>
  <c r="G357" i="6"/>
  <c r="E20" i="3" s="1"/>
  <c r="G53" i="6"/>
  <c r="E9" i="3" s="1"/>
  <c r="H53" i="6"/>
  <c r="D9" i="3" s="1"/>
  <c r="E12" i="3"/>
  <c r="G348" i="6"/>
  <c r="E17" i="3" s="1"/>
  <c r="F9" i="3" l="1"/>
  <c r="M9" i="3" s="1"/>
  <c r="J21" i="3"/>
  <c r="G354" i="6"/>
  <c r="E19" i="3" s="1"/>
  <c r="G114" i="6"/>
  <c r="E10" i="3" s="1"/>
  <c r="F10" i="3" s="1"/>
  <c r="M10" i="3" s="1"/>
  <c r="H21" i="3"/>
  <c r="F11" i="3"/>
  <c r="M11" i="3" s="1"/>
  <c r="E11" i="3"/>
  <c r="K21" i="3" l="1"/>
  <c r="I31" i="3" s="1"/>
  <c r="M31" i="3" s="1"/>
  <c r="H339" i="6" l="1"/>
  <c r="G339" i="6"/>
  <c r="G359" i="6" s="1"/>
  <c r="H359" i="6" l="1"/>
  <c r="F14" i="3"/>
  <c r="M14" i="3" s="1"/>
  <c r="E14" i="3"/>
  <c r="E339" i="6"/>
  <c r="E359" i="6" s="1"/>
  <c r="F21" i="3" l="1"/>
  <c r="M21" i="3"/>
  <c r="E21" i="3"/>
  <c r="I28" i="3" s="1"/>
  <c r="D14" i="3"/>
  <c r="D21" i="3" l="1"/>
  <c r="I27" i="3" s="1"/>
  <c r="I29" i="3" s="1"/>
  <c r="I33" i="3" s="1"/>
  <c r="M27" i="3" l="1"/>
  <c r="M29" i="3" l="1"/>
  <c r="M33" i="3" s="1"/>
</calcChain>
</file>

<file path=xl/comments1.xml><?xml version="1.0" encoding="utf-8"?>
<comments xmlns="http://schemas.openxmlformats.org/spreadsheetml/2006/main">
  <authors>
    <author>Willy Muaka</author>
  </authors>
  <commentList>
    <comment ref="G6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30/01/2026
</t>
        </r>
      </text>
    </comment>
    <comment ref="G11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451000FC du 22/01/2026</t>
        </r>
      </text>
    </comment>
    <comment ref="G12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22/01/2026</t>
        </r>
      </text>
    </comment>
    <comment ref="G14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caissse 425$ du 30/01/2026
</t>
        </r>
      </text>
    </comment>
    <comment ref="G15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200$+20000fc du 30/01/2026
</t>
        </r>
      </text>
    </comment>
    <comment ref="G16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Ebcdc $ du 29/01/2026</t>
        </r>
      </text>
    </comment>
    <comment ref="G17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caissse 425$ du 30/01/2026
</t>
        </r>
      </text>
    </comment>
    <comment ref="G18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230$+4500fc du 27/01/2025</t>
        </r>
      </text>
    </comment>
    <comment ref="G19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Tmb $ du 29/01/2026</t>
        </r>
      </text>
    </comment>
    <comment ref="G22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Rawbank $ du 29/12/2025</t>
        </r>
      </text>
    </comment>
    <comment ref="G24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Rawbank $ du 23/11/2025</t>
        </r>
      </text>
    </comment>
    <comment ref="G29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tmb $ du 02/02/2026
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Ebcdc 1048,48$ du 03/02/2026
</t>
        </r>
      </text>
    </comment>
    <comment ref="G31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Ebcdc 1048,48$ du 03/02/2026
</t>
        </r>
      </text>
    </comment>
    <comment ref="G32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Ebcdc 1048,48$ du 03/02/2026
</t>
        </r>
      </text>
    </comment>
    <comment ref="H33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Ebcdc $ du 06/02/2026</t>
        </r>
      </text>
    </comment>
    <comment ref="G34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Rawbank 1009,20$ du 02/02/2026
</t>
        </r>
      </text>
    </comment>
    <comment ref="G41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Ebcdc $ du 25/02/2026</t>
        </r>
      </text>
    </comment>
    <comment ref="G51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Rawbank 1059,66$ du 20/02/2026</t>
        </r>
      </text>
    </comment>
    <comment ref="G52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Rawbank 1059,66$ du 20/02/2026</t>
        </r>
      </text>
    </comment>
    <comment ref="G53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Rawbank 1059,66$ du 20/02/2026</t>
        </r>
      </text>
    </comment>
    <comment ref="G54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Rawbank 1059,66$ du 20/02/2026</t>
        </r>
      </text>
    </comment>
    <comment ref="H64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Rawbank $ du 23/02/2026</t>
        </r>
      </text>
    </comment>
    <comment ref="H65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Rawbank $ du 25/02/2026</t>
        </r>
      </text>
    </comment>
    <comment ref="H66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Ebcdc 15735,11$ du 26/02/2026
</t>
        </r>
      </text>
    </comment>
    <comment ref="H67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Ebcdc 15735,11$ du 26/02/2026
</t>
        </r>
      </text>
    </comment>
    <comment ref="H68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Ebcdc $ du 23/02/2026</t>
        </r>
      </text>
    </comment>
    <comment ref="N118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tva non payée</t>
        </r>
      </text>
    </comment>
    <comment ref="N119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tva non payée</t>
        </r>
      </text>
    </comment>
    <comment ref="N120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tva non payée</t>
        </r>
      </text>
    </comment>
    <comment ref="N122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tva non payée</t>
        </r>
      </text>
    </comment>
    <comment ref="N123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TVA NON PAYEE</t>
        </r>
      </text>
    </comment>
    <comment ref="N195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Facture soldée cfr Rawbank 08/06/2026 à declarer le 15 juilllet</t>
        </r>
      </text>
    </comment>
  </commentList>
</comments>
</file>

<file path=xl/comments2.xml><?xml version="1.0" encoding="utf-8"?>
<comments xmlns="http://schemas.openxmlformats.org/spreadsheetml/2006/main">
  <authors>
    <author>Willy Muaka</author>
  </authors>
  <commentList>
    <comment ref="D23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ANNULEE cfr Facture 192026</t>
        </r>
      </text>
    </comment>
  </commentList>
</comments>
</file>

<file path=xl/comments3.xml><?xml version="1.0" encoding="utf-8"?>
<comments xmlns="http://schemas.openxmlformats.org/spreadsheetml/2006/main">
  <authors>
    <author>Willy Muaka</author>
  </authors>
  <commentList>
    <comment ref="J15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17/04/2026
</t>
        </r>
      </text>
    </comment>
    <comment ref="J17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610$ du 14/02/2026</t>
        </r>
      </text>
    </comment>
    <comment ref="J18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170$+11000fc du 06/03/2026</t>
        </r>
      </text>
    </comment>
    <comment ref="J19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caisse11000$ cfr IVAN du 04/03/2026</t>
        </r>
      </text>
    </comment>
    <comment ref="J20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174$ du 14/02/2026</t>
        </r>
      </text>
    </comment>
    <comment ref="J21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caisse11000$ cfr IVAN du 04/03/2026</t>
        </r>
      </text>
    </comment>
    <comment ref="J22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29/01/2026</t>
        </r>
      </text>
    </comment>
    <comment ref="J23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27/03/2026</t>
        </r>
      </text>
    </comment>
    <comment ref="H25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27/03/2026</t>
        </r>
      </text>
    </comment>
    <comment ref="J25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1114$ du 03/03/2026 cfr factures 2025/SN/129-149-164-174 &amp; 14$ pour 2026.01/SN/12</t>
        </r>
      </text>
    </comment>
    <comment ref="J26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06/03/2026</t>
        </r>
      </text>
    </comment>
    <comment ref="J27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180$+7000fc du 06/03/2026</t>
        </r>
      </text>
    </comment>
    <comment ref="J28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29/04/2026</t>
        </r>
      </text>
    </comment>
    <comment ref="J29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410$ du 14/04/2026</t>
        </r>
      </text>
    </comment>
    <comment ref="J30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05/02/2026</t>
        </r>
      </text>
    </comment>
    <comment ref="J31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05/02/2026</t>
        </r>
      </text>
    </comment>
    <comment ref="J32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610$ du 14/02/2026</t>
        </r>
      </text>
    </comment>
    <comment ref="J33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12/02/2026</t>
        </r>
      </text>
    </comment>
    <comment ref="J34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caisse11000$ cfr IVAN du 04/03/2026</t>
        </r>
      </text>
    </comment>
    <comment ref="J36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caisse11000$ cfr IVAN du 04/03/2026</t>
        </r>
      </text>
    </comment>
    <comment ref="J41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551$ du 05/03/2026</t>
        </r>
      </text>
    </comment>
    <comment ref="J42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06/03/2026</t>
        </r>
      </text>
    </comment>
    <comment ref="J44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170$+9200fc du 15/04/2026</t>
        </r>
      </text>
    </comment>
    <comment ref="J46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240$+8000fc du 27/03/2026</t>
        </r>
      </text>
    </comment>
    <comment ref="J47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17/04/2026</t>
        </r>
      </text>
    </comment>
    <comment ref="J50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caissse $ du 05/03/2026</t>
        </r>
      </text>
    </comment>
    <comment ref="J51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551$ du 05/03/2026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17/02/2026</t>
        </r>
      </text>
    </comment>
    <comment ref="J54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183$ du 07/04/2026</t>
        </r>
      </text>
    </comment>
    <comment ref="J58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170$+10000fc du 09/05/2026</t>
        </r>
      </text>
    </comment>
    <comment ref="J59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18/03/2025</t>
        </r>
      </text>
    </comment>
    <comment ref="J66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650$+3000fc du 30/03/2026</t>
        </r>
      </text>
    </comment>
    <comment ref="J67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08/04/2026
</t>
        </r>
      </text>
    </comment>
    <comment ref="J71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322000FC DU 08/04/2026
</t>
        </r>
      </text>
    </comment>
    <comment ref="J72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650$+3000fc du 30/03/2026</t>
        </r>
      </text>
    </comment>
    <comment ref="J73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31/03/2026</t>
        </r>
      </text>
    </comment>
    <comment ref="J74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650$+3000fc du 30/03/2026</t>
        </r>
      </text>
    </comment>
    <comment ref="J75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31/03/2026</t>
        </r>
      </text>
    </comment>
    <comment ref="J76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24/03/2026</t>
        </r>
      </text>
    </comment>
    <comment ref="J78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29/04/2026</t>
        </r>
      </text>
    </comment>
    <comment ref="J80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1300$ du 31/03/2026</t>
        </r>
      </text>
    </comment>
    <comment ref="J83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170$+9000fc du 14/05/2026</t>
        </r>
      </text>
    </comment>
    <comment ref="J84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243$+1500fc du 28/04/2026</t>
        </r>
      </text>
    </comment>
    <comment ref="J85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250500fc du 04/05/2025
</t>
        </r>
      </text>
    </comment>
    <comment ref="J86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22/04/2026</t>
        </r>
      </text>
    </comment>
    <comment ref="J87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22/04/2026</t>
        </r>
      </text>
    </comment>
    <comment ref="J91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22/04/2026</t>
        </r>
      </text>
    </comment>
    <comment ref="J93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550$+3000fc du 30/04/2026</t>
        </r>
      </text>
    </comment>
    <comment ref="J94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550$+3000fc du 30/04/2026</t>
        </r>
      </text>
    </comment>
    <comment ref="J97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07/05/2026</t>
        </r>
      </text>
    </comment>
    <comment ref="J98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13/05/2026
</t>
        </r>
      </text>
    </comment>
    <comment ref="J104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22/05/2026</t>
        </r>
      </text>
    </comment>
    <comment ref="J105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13/04/2026</t>
        </r>
      </text>
    </comment>
    <comment ref="J109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240$+9000fc du 26/05/2026
</t>
        </r>
      </text>
    </comment>
    <comment ref="J110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180$+6000fc du 28/05/2026</t>
        </r>
      </text>
    </comment>
    <comment ref="J117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04/06/2026</t>
        </r>
      </text>
    </comment>
    <comment ref="J118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550$+3000fc du 01/06/2026</t>
        </r>
      </text>
    </comment>
    <comment ref="J119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550$+3000fc du 01/05/2026</t>
        </r>
      </text>
    </comment>
    <comment ref="J123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12/06/2026</t>
        </r>
      </text>
    </comment>
    <comment ref="J125" authorId="0">
      <text>
        <r>
          <rPr>
            <b/>
            <sz val="9"/>
            <color indexed="81"/>
            <rFont val="Tahoma"/>
            <family val="2"/>
          </rPr>
          <t>Willy Muaka:</t>
        </r>
        <r>
          <rPr>
            <sz val="9"/>
            <color indexed="81"/>
            <rFont val="Tahoma"/>
            <family val="2"/>
          </rPr>
          <t xml:space="preserve">
caisse $ du 04/05/2026</t>
        </r>
      </text>
    </comment>
  </commentList>
</comments>
</file>

<file path=xl/sharedStrings.xml><?xml version="1.0" encoding="utf-8"?>
<sst xmlns="http://schemas.openxmlformats.org/spreadsheetml/2006/main" count="1572" uniqueCount="1229">
  <si>
    <t>ELECTRO COOL</t>
  </si>
  <si>
    <t>PRODUITS</t>
  </si>
  <si>
    <t>TOTAL</t>
  </si>
  <si>
    <t>CLIMATISATION</t>
  </si>
  <si>
    <t>SN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</si>
  <si>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</si>
  <si>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</si>
  <si>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</si>
  <si>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</si>
  <si>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</si>
  <si>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</si>
  <si>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</si>
  <si>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</si>
  <si>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</si>
  <si>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</si>
  <si>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</si>
  <si>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</si>
  <si>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TVA</t>
  </si>
  <si>
    <t>ASCENSEUR</t>
  </si>
  <si>
    <t>Total</t>
  </si>
  <si>
    <t>FACTURATION</t>
  </si>
  <si>
    <t>Clients</t>
  </si>
  <si>
    <t>CLIM</t>
  </si>
  <si>
    <t>ASC</t>
  </si>
  <si>
    <t>Plomberie</t>
  </si>
  <si>
    <t>au</t>
  </si>
  <si>
    <t>ELECTROCOOL SARL</t>
  </si>
  <si>
    <t>Solde</t>
  </si>
  <si>
    <t>DATE</t>
  </si>
  <si>
    <t>UTEXAFRICA</t>
  </si>
  <si>
    <t>DEVIMCO</t>
  </si>
  <si>
    <t>SOGIC</t>
  </si>
  <si>
    <t>TMB</t>
  </si>
  <si>
    <t>MIDEMA</t>
  </si>
  <si>
    <t>BELTEXCO</t>
  </si>
  <si>
    <t>TOTAL FACT.</t>
  </si>
  <si>
    <t xml:space="preserve">TOTAL </t>
  </si>
  <si>
    <t>A recouvrer</t>
  </si>
  <si>
    <t>Encaissé</t>
  </si>
  <si>
    <t>2026/DA/01/13</t>
  </si>
  <si>
    <t>2026/DA/01/1</t>
  </si>
  <si>
    <t>2026/DA/01/2</t>
  </si>
  <si>
    <t>2026/DA/01/3</t>
  </si>
  <si>
    <t>2026/DA/01/4</t>
  </si>
  <si>
    <t>2026/DA/01/5</t>
  </si>
  <si>
    <t>2026/DA/01/6</t>
  </si>
  <si>
    <t>2026/DA/01/7</t>
  </si>
  <si>
    <t>2026/DA/01/8</t>
  </si>
  <si>
    <t>2026/DA/01/9</t>
  </si>
  <si>
    <t>2026/DA/01/10</t>
  </si>
  <si>
    <t>2026/DA/01/11</t>
  </si>
  <si>
    <t>2026/DA/01/12</t>
  </si>
  <si>
    <t>2026/DA/01/14</t>
  </si>
  <si>
    <t>2026/DA/01/15</t>
  </si>
  <si>
    <t>2026/DA/01/16</t>
  </si>
  <si>
    <t>IMMEUBLE IMANI - Redevance 12/2025</t>
  </si>
  <si>
    <t>136/1-11/2026</t>
  </si>
  <si>
    <t>136/1-13/2026</t>
  </si>
  <si>
    <t>136/1-1/2026</t>
  </si>
  <si>
    <t>LFRD - Redevance 12/2025</t>
  </si>
  <si>
    <t>COMMUNAUTE HELENIQUE - Redevance 12/2025</t>
  </si>
  <si>
    <t>136/1-7/2026</t>
  </si>
  <si>
    <t>IMMEUBLE DELPHIN - Redevance 12/2025</t>
  </si>
  <si>
    <t>BANQUE MONDIALE - Redevance 12/2025</t>
  </si>
  <si>
    <t>136/1-15/2026</t>
  </si>
  <si>
    <t>136/1-6/2026</t>
  </si>
  <si>
    <t>IMMEUBLE SERKAS - Redevance 12/2025</t>
  </si>
  <si>
    <t>136/1-5/2026</t>
  </si>
  <si>
    <t>136/1-9/2026</t>
  </si>
  <si>
    <t>SOGIC - Redevance BOULEVARD 12/2025</t>
  </si>
  <si>
    <t>SOGIC - Redevance ROI BAUDOUIN  12/2025</t>
  </si>
  <si>
    <t>136/1-12/2026</t>
  </si>
  <si>
    <t>136/1-14/2026</t>
  </si>
  <si>
    <t>EBCDC - Revance escalators 12/2025</t>
  </si>
  <si>
    <t>136/1-2/2026</t>
  </si>
  <si>
    <t>136/1-3/2026</t>
  </si>
  <si>
    <t>136/1-4/2026</t>
  </si>
  <si>
    <t>136/1-8/2026</t>
  </si>
  <si>
    <t>136/1-10/2026</t>
  </si>
  <si>
    <t>136/1-16/2026</t>
  </si>
  <si>
    <t>136/1-17/2026</t>
  </si>
  <si>
    <t>136/1-18/2026</t>
  </si>
  <si>
    <t>136/1-19/2026</t>
  </si>
  <si>
    <t>136/1-20/2026</t>
  </si>
  <si>
    <t>2026/DT/01/5</t>
  </si>
  <si>
    <t>TCK - Entretien 12/2025</t>
  </si>
  <si>
    <t xml:space="preserve">EXCELLERATE - Entretien 4eTRIM2025 - </t>
  </si>
  <si>
    <t>Ambassade BRITANNIQUE - Redevance 12/2025</t>
  </si>
  <si>
    <t>EBALE RESIDENCE - Redevance 12/2025</t>
  </si>
  <si>
    <t>AMBABEL - Redevance 12/2025</t>
  </si>
  <si>
    <t>136/1-21/2026</t>
  </si>
  <si>
    <t>2026/DT/01/6</t>
  </si>
  <si>
    <t>AGL - Fo&amp;po split 24000btu VILLA 150 UTEX</t>
  </si>
  <si>
    <t>2026/DT/01/4</t>
  </si>
  <si>
    <t>2026/DT/01/3</t>
  </si>
  <si>
    <t>AGL - Fo&amp;po split 12000btu Bureau KINGABWA</t>
  </si>
  <si>
    <t>AFRICANA PALACE - Redevance 12/2025</t>
  </si>
  <si>
    <t>2026/DT/01/1</t>
  </si>
  <si>
    <t>136/1-22/2026</t>
  </si>
  <si>
    <t>136/1-23/2026</t>
  </si>
  <si>
    <t>2026/DA/01/18</t>
  </si>
  <si>
    <t>2026/DA/01/17</t>
  </si>
  <si>
    <t>TMB - Redevance SIEGE 12/2025</t>
  </si>
  <si>
    <t>EBCDC/IAG - Redevance CONCESSION 12/2025</t>
  </si>
  <si>
    <t>136/1-24/2026</t>
  </si>
  <si>
    <t>136/1-25/2026</t>
  </si>
  <si>
    <t>136/1-26/2026</t>
  </si>
  <si>
    <t>136/1-27/2026</t>
  </si>
  <si>
    <t>136/1-28/2026</t>
  </si>
  <si>
    <t>2026/DT/01/2</t>
  </si>
  <si>
    <t>UNICEF - Maintenance HUB/KINKOLE 12/2025</t>
  </si>
  <si>
    <t>N / Facture</t>
  </si>
  <si>
    <t>FACT.Normalisée</t>
  </si>
  <si>
    <t>RESUME FACTURATION 2026</t>
  </si>
  <si>
    <t xml:space="preserve">                       PRODUITS</t>
  </si>
  <si>
    <t>TOTAL FACTURES NORMALISEES</t>
  </si>
  <si>
    <t xml:space="preserve">                    FACTURES</t>
  </si>
  <si>
    <t>MAJESTIC RIVER - Depannage CF 12/2025</t>
  </si>
  <si>
    <t>2026/DT/01/9</t>
  </si>
  <si>
    <t>136/1-29/2026</t>
  </si>
  <si>
    <t>136/1-30/2026</t>
  </si>
  <si>
    <t>136/1-31/2026</t>
  </si>
  <si>
    <t>136/1-32/2026</t>
  </si>
  <si>
    <t xml:space="preserve">US EMBASSY - Fo&amp;po 3 Remote ASC </t>
  </si>
  <si>
    <t>2026/DA/01/21</t>
  </si>
  <si>
    <t>EBCDC - Redevance semestrielle ESCALATORS</t>
  </si>
  <si>
    <t>2026/DT/01/7</t>
  </si>
  <si>
    <t>LPL - Entretien clim 1erQUAD2026</t>
  </si>
  <si>
    <t>2026/DT/01/10</t>
  </si>
  <si>
    <t>LFRD - Entretien clim 1erTRIM.2026</t>
  </si>
  <si>
    <t>2026/DT/01/11</t>
  </si>
  <si>
    <t>2026/DT/01/8</t>
  </si>
  <si>
    <t>2026/DA/01/20</t>
  </si>
  <si>
    <t>C.H. MONKOLE - Fo&amp;po 3 courroies de traction</t>
  </si>
  <si>
    <t>136/1-33/2026</t>
  </si>
  <si>
    <t>2026/DA/01/19</t>
  </si>
  <si>
    <t>C.H. MONKOLE - Fo&amp;po 4 Galets porte cabine</t>
  </si>
  <si>
    <r>
      <t xml:space="preserve">AGL - Fo&amp;po split 24000btu VILLA 150 UTEX </t>
    </r>
    <r>
      <rPr>
        <b/>
        <sz val="8"/>
        <color rgb="FFFF0000"/>
        <rFont val="Calibri"/>
        <family val="2"/>
      </rPr>
      <t>(ANNULEE DUPPLICATA cfr 19/2026)</t>
    </r>
  </si>
  <si>
    <t>A PAYER</t>
  </si>
  <si>
    <t>PAYE</t>
  </si>
  <si>
    <t>136/1-34/2026</t>
  </si>
  <si>
    <t>136/1-35/2026</t>
  </si>
  <si>
    <t>136/1-36/2026</t>
  </si>
  <si>
    <t>136/1-37/2026</t>
  </si>
  <si>
    <t>136/1-38/2026</t>
  </si>
  <si>
    <t>136/1-39/2026</t>
  </si>
  <si>
    <t>136/1-40/2026</t>
  </si>
  <si>
    <t>136/1-41/2026</t>
  </si>
  <si>
    <t>136/1-42/2026</t>
  </si>
  <si>
    <t>136/1-43/2026</t>
  </si>
  <si>
    <t>136/1-44/2026</t>
  </si>
  <si>
    <t>136/1-45/2026</t>
  </si>
  <si>
    <t>136/1-46/2026</t>
  </si>
  <si>
    <t>136/1-47/2026</t>
  </si>
  <si>
    <t>BELTEXCO 2 - Redevance 122025 - 2026.01/DA/34</t>
  </si>
  <si>
    <t>BELTEXCO 1 - Redevance 122025 - 2026.01/DA/33</t>
  </si>
  <si>
    <t>TMB / VICTOIRE - Redevance 122025 - 2026.01/DA/32</t>
  </si>
  <si>
    <t>DEVIMCO / CONCORDE - Redevance 122025 - 2026.01/DA/31</t>
  </si>
  <si>
    <t>DEVIMCO / TRADITION - Redevance 122025 - 2026.01/DA/30</t>
  </si>
  <si>
    <t>DEVIMCO / AMBASSADEUR - Redevance 122025 - 2026.01/DA/29</t>
  </si>
  <si>
    <t>2026/DA/01/29</t>
  </si>
  <si>
    <t>2026/DA/01/30</t>
  </si>
  <si>
    <t>2026/DA/01/31</t>
  </si>
  <si>
    <t>2026/DA/01/32</t>
  </si>
  <si>
    <t>2026/DA/01/33</t>
  </si>
  <si>
    <t>2026/DA/01/34</t>
  </si>
  <si>
    <t>DEVIMCO / PRESTIGE - Redevance 122025 - 2026.01/DA/24</t>
  </si>
  <si>
    <t>2026/DA/01/24</t>
  </si>
  <si>
    <t>MIDEMA - Redevance 122025 - 2026.01/DA/28</t>
  </si>
  <si>
    <t>2026/DA/01/28</t>
  </si>
  <si>
    <t>MIDEMA - Redevance 112025 - 2026.01/DA/25</t>
  </si>
  <si>
    <t>2026/DA/01/25</t>
  </si>
  <si>
    <t>2026/DA/01/26</t>
  </si>
  <si>
    <t>MAJESTIC RIVER - Redevance 112025 - 2026.01/DA/26</t>
  </si>
  <si>
    <t>MAJESTIC RIVER - Redevance 122025 - 2026.01/DA/27</t>
  </si>
  <si>
    <t>2026/DA/01/27</t>
  </si>
  <si>
    <t>US EMBASSY - Redevance 122025 - 2026.01/DA/22</t>
  </si>
  <si>
    <t>2026/DA/01/22</t>
  </si>
  <si>
    <t>CONNEXAFRICA RDC - Entretien clim 1erTRIM.2026</t>
  </si>
  <si>
    <t>WAGENIA - Redevance 122025 - 2026.01/DA/23</t>
  </si>
  <si>
    <t>2026/DA/01/23</t>
  </si>
  <si>
    <t xml:space="preserve">                          TVA</t>
  </si>
  <si>
    <t>N° Facture</t>
  </si>
  <si>
    <t>Encaissement</t>
  </si>
  <si>
    <t>FACTURATION SN - MAI 2025</t>
  </si>
  <si>
    <t>FACTURATION SN - JUIN 2025</t>
  </si>
  <si>
    <t>FACTURATION SN - JUILLET 2025</t>
  </si>
  <si>
    <t>FACTURATION SN - AOUT 2025</t>
  </si>
  <si>
    <t>FACTURATION SN - SEPTEMBRE 2025</t>
  </si>
  <si>
    <t>FACTURATION SN - OCTOBRE 2025</t>
  </si>
  <si>
    <t>FACTURATION SN - NOVEMBRE 2025</t>
  </si>
  <si>
    <t>FACTURATION SN - DECEMBRE 2025</t>
  </si>
  <si>
    <t>FACTURATION SN 2026</t>
  </si>
  <si>
    <t>FACTURATION SN - JANVIER 2026</t>
  </si>
  <si>
    <t xml:space="preserve">         TVA RECOLTEE</t>
  </si>
  <si>
    <t xml:space="preserve">      ENCAISSEMENTS</t>
  </si>
  <si>
    <t>2026/DT/01/12</t>
  </si>
  <si>
    <r>
      <t xml:space="preserve">UTEXAFRICA - Redevance BOIS NOBLES 2B 12/2025 </t>
    </r>
    <r>
      <rPr>
        <b/>
        <sz val="9"/>
        <color rgb="FFFF0000"/>
        <rFont val="Calibri"/>
        <family val="2"/>
      </rPr>
      <t>(522€)</t>
    </r>
  </si>
  <si>
    <t>LPL</t>
  </si>
  <si>
    <t>RAWBANK</t>
  </si>
  <si>
    <t>UNICEF</t>
  </si>
  <si>
    <t>CONNEXAFRICA</t>
  </si>
  <si>
    <t>SUIVI TVA 2026</t>
  </si>
  <si>
    <t>FACTURES</t>
  </si>
  <si>
    <t>EXONEREES</t>
  </si>
  <si>
    <t xml:space="preserve">                      PRODUITS</t>
  </si>
  <si>
    <t>2026.01/SN/7</t>
  </si>
  <si>
    <t>IMMEUBLE MARIE YVETTE - Redevance mensuelle 12/2025</t>
  </si>
  <si>
    <t>2026.01/SN/8</t>
  </si>
  <si>
    <t>2026.01/SN/9</t>
  </si>
  <si>
    <t>2026.01/SN/10</t>
  </si>
  <si>
    <t>2026.01/SN/11</t>
  </si>
  <si>
    <t>2026.01/SN/12</t>
  </si>
  <si>
    <t>2026.01/SN/13</t>
  </si>
  <si>
    <t>LYS SARL - Redevance LYS CENTER 11/2025</t>
  </si>
  <si>
    <t>ESPACE SHADARY - Redevance CITE VERTE 12/2025</t>
  </si>
  <si>
    <t>2026.01/SN/14</t>
  </si>
  <si>
    <t>2026.01/SN/15</t>
  </si>
  <si>
    <t>2026.01/SN/16</t>
  </si>
  <si>
    <t>2026.01/SN/17</t>
  </si>
  <si>
    <t>2026.01/SN/18</t>
  </si>
  <si>
    <t>2026.01/SN/19</t>
  </si>
  <si>
    <t>2026.01/SN/20</t>
  </si>
  <si>
    <t>IMMEUBLE MARIE YVETTE - Redevance mensuelle 01/2026</t>
  </si>
  <si>
    <t>2026.01/SN/1</t>
  </si>
  <si>
    <t>2026.01/SN/2</t>
  </si>
  <si>
    <t>2026.01/SN/3</t>
  </si>
  <si>
    <t>2026.01/SN/4</t>
  </si>
  <si>
    <t>2026.01/SN/5</t>
  </si>
  <si>
    <t>2026.01/SN/6</t>
  </si>
  <si>
    <t xml:space="preserve">IMMEUBLE DELPHIN </t>
  </si>
  <si>
    <t xml:space="preserve">C.H.MONKOLE </t>
  </si>
  <si>
    <t xml:space="preserve">AMBABEL </t>
  </si>
  <si>
    <t xml:space="preserve">Ambassade BRITANNIQUE </t>
  </si>
  <si>
    <t xml:space="preserve">BANQUE MONDIALE </t>
  </si>
  <si>
    <t xml:space="preserve">IMMEUBLE SERKAS </t>
  </si>
  <si>
    <t xml:space="preserve">COMMUNAUTE HELENIQUE </t>
  </si>
  <si>
    <t xml:space="preserve">EBALE RESIDENCE </t>
  </si>
  <si>
    <t>SOGIC - BOULEVARD</t>
  </si>
  <si>
    <t xml:space="preserve">AFRICANA PALACE </t>
  </si>
  <si>
    <t xml:space="preserve">LFRD </t>
  </si>
  <si>
    <t xml:space="preserve">SOGIC </t>
  </si>
  <si>
    <t xml:space="preserve">IMMEUBLE IMANI </t>
  </si>
  <si>
    <t xml:space="preserve">US EMBASSY </t>
  </si>
  <si>
    <t xml:space="preserve">C.H. MONKOLE </t>
  </si>
  <si>
    <t>TMB / DG</t>
  </si>
  <si>
    <t>TMB / VICTOIRE</t>
  </si>
  <si>
    <t>MAJESTIC RIVER</t>
  </si>
  <si>
    <t>136/1-48/2026</t>
  </si>
  <si>
    <t>136/1-49/2026</t>
  </si>
  <si>
    <t>136/1-50/2026</t>
  </si>
  <si>
    <t>2026/DT/01/13</t>
  </si>
  <si>
    <t>2026/DT/01/14</t>
  </si>
  <si>
    <t>2026/DT/01/15</t>
  </si>
  <si>
    <t>COMPAGNIE SUCRIERE - Dépannage 4eTRIM.2025</t>
  </si>
  <si>
    <t>COMPAGNIE SUCRIERE - Entretien 4eTRIM.2025</t>
  </si>
  <si>
    <t>IMMEUBLE LEGREY - Redevance mensuelle 12/2025</t>
  </si>
  <si>
    <t>LIBERTY - Redevance mensuelle LUBUMBASHI 01/2026</t>
  </si>
  <si>
    <t>DEV GROUP - Redevance mensuelle DEV SOLAIRE LUSHI 01/2026</t>
  </si>
  <si>
    <t>IMMEUBLE MALAIKA - Redevance 1er TRIM.2026</t>
  </si>
  <si>
    <t>ESPACE SHADARY - Redevance CITE VERTE 01/2026</t>
  </si>
  <si>
    <t>ESPACE SHADARY - Redevance LUBEFU 01/2026</t>
  </si>
  <si>
    <t>SHEHENAJ L.M. - Redevance PACIFIQUE 01/2026</t>
  </si>
  <si>
    <t>A ONE CONSTRUCTION - Redevance mensuelle PANORAMIQUE 01/2026</t>
  </si>
  <si>
    <t>IMMEUBLE LEGREY - Redevance mensuelle 01/2026</t>
  </si>
  <si>
    <r>
      <t xml:space="preserve">SHEHENAJ L.M. - Fo&amp;po 2 garnitures cabine IMM. MBUJI MAYI </t>
    </r>
    <r>
      <rPr>
        <b/>
        <sz val="11"/>
        <color rgb="FFFF0000"/>
        <rFont val="Calibri"/>
        <family val="2"/>
        <scheme val="minor"/>
      </rPr>
      <t>(ANNULEE cfr 2025/SN12/1</t>
    </r>
  </si>
  <si>
    <r>
      <t xml:space="preserve">SHEHENAJ L.M. - Fo&amp;po 1 bouton appel cabine IMM. COMMERCE </t>
    </r>
    <r>
      <rPr>
        <b/>
        <sz val="11"/>
        <color rgb="FFFF0000"/>
        <rFont val="Calibri"/>
        <family val="2"/>
        <scheme val="minor"/>
      </rPr>
      <t>(ANNULEE cfr 2025/SN12/2</t>
    </r>
  </si>
  <si>
    <r>
      <t xml:space="preserve">SHEHENAJ L.M. - Redevance IMMEUBLE COMMERCE 12/2025 </t>
    </r>
    <r>
      <rPr>
        <b/>
        <sz val="11"/>
        <color rgb="FFFF0000"/>
        <rFont val="Calibri"/>
        <family val="2"/>
        <scheme val="minor"/>
      </rPr>
      <t>(ANNULEE cfr 2025/SN12/3)</t>
    </r>
  </si>
  <si>
    <r>
      <t>SHEHENAJ L.M. - Redevance IMMEUBLE PACIFIQUE 12/2025</t>
    </r>
    <r>
      <rPr>
        <b/>
        <sz val="11"/>
        <color rgb="FFFF0000"/>
        <rFont val="Calibri"/>
        <family val="2"/>
        <scheme val="minor"/>
      </rPr>
      <t xml:space="preserve"> (ANNULEE cfr 2025/SN12/4)</t>
    </r>
  </si>
  <si>
    <t>EXONERE</t>
  </si>
  <si>
    <t>TVA CDF</t>
  </si>
  <si>
    <t>TAXABLE</t>
  </si>
  <si>
    <t>RAWBANK - 20% Travaux reamenagement 2026.01/DT/16</t>
  </si>
  <si>
    <t>2026/DT/01/16</t>
  </si>
  <si>
    <t>136/1-51/2026</t>
  </si>
  <si>
    <t>136/1-52/2026</t>
  </si>
  <si>
    <t>DEVIMCO - Redevance PRESTIGE 01/2026</t>
  </si>
  <si>
    <t>2026.01/DA/35</t>
  </si>
  <si>
    <t>DEVIMCO - Redevance AMBASSADEUR 01/2026</t>
  </si>
  <si>
    <t>2026.01/DA/36</t>
  </si>
  <si>
    <t>2026.01/DA/37</t>
  </si>
  <si>
    <t>136/1-53/2026</t>
  </si>
  <si>
    <t>136/1-54/2026</t>
  </si>
  <si>
    <t>136/1-55/2026</t>
  </si>
  <si>
    <t>DEVIMCO - Redevance CONCORDE 01/2026</t>
  </si>
  <si>
    <t>DEVIMCO - Redevance TRADITION 01/2026</t>
  </si>
  <si>
    <t>2026.01/DA/38</t>
  </si>
  <si>
    <t>2026.01/DA/39</t>
  </si>
  <si>
    <t>2026.01/DA/40</t>
  </si>
  <si>
    <t>2026.01/DA/41</t>
  </si>
  <si>
    <t>136/1-56/2026</t>
  </si>
  <si>
    <t>136/1-57/2026</t>
  </si>
  <si>
    <t>136/1-58/2026</t>
  </si>
  <si>
    <t>136/1-59/2026</t>
  </si>
  <si>
    <t>136/1-60/2026</t>
  </si>
  <si>
    <t>TMB - Redevance VICTOIRE 01/2026</t>
  </si>
  <si>
    <t>TMB - Redevance DG 01/2026</t>
  </si>
  <si>
    <t>IMANI - Redevance 01/2026</t>
  </si>
  <si>
    <t>SOGIC - Redevance ROI BAUDOUIN 01/2026</t>
  </si>
  <si>
    <t>2026.01/DA/42</t>
  </si>
  <si>
    <t>2026.01/DA/43</t>
  </si>
  <si>
    <t>2026.01/DA/44</t>
  </si>
  <si>
    <t>2026.01/DA/45</t>
  </si>
  <si>
    <t>136/1-61/2026</t>
  </si>
  <si>
    <t>BELTEXCO 1 - Redevance 01/2026</t>
  </si>
  <si>
    <t>BELTEXCO 2 - Redevance 01/2026</t>
  </si>
  <si>
    <t>IAG - Redevance CONCESSION 01/2026</t>
  </si>
  <si>
    <t>136/1-62/2026</t>
  </si>
  <si>
    <t>136/1-63/2026</t>
  </si>
  <si>
    <t>2026.01/DA/46</t>
  </si>
  <si>
    <t>COMMUNAUTE HELLENIQUE - Redevance 01/2026</t>
  </si>
  <si>
    <t>WAGENIA - Redevance 01/2026</t>
  </si>
  <si>
    <t>2026.01/DA/47</t>
  </si>
  <si>
    <t>136/1-64/2026</t>
  </si>
  <si>
    <t>COMMUNAUTE HELLENIQUE</t>
  </si>
  <si>
    <t>RESIDENCE EMERAUDE - Depannage clim APT 2-4 cfr 2eNIVEAU</t>
  </si>
  <si>
    <t>RESIDENCE EMERAUDE - Réinstallation liaisons frigo  APT 2 cfr 2eNIVEAU</t>
  </si>
  <si>
    <t>A ONE CONSTRUCTION - Redevance mensuelle PANORAMIQUE 12/2025</t>
  </si>
  <si>
    <t>Monsieur EBATA - Redevance annuelle 2026</t>
  </si>
  <si>
    <t>2026.01/DA/48</t>
  </si>
  <si>
    <t>2026.01/DA/49</t>
  </si>
  <si>
    <t>2026.01/DA/50</t>
  </si>
  <si>
    <t>2026.01/DA/51</t>
  </si>
  <si>
    <t>2026.01/DA/52</t>
  </si>
  <si>
    <t>2026.01/DA/53</t>
  </si>
  <si>
    <t>2026.01/DA/54</t>
  </si>
  <si>
    <t>2026.01/DA/55</t>
  </si>
  <si>
    <t>2026.01/DA/56</t>
  </si>
  <si>
    <t>2026.01/DA/57</t>
  </si>
  <si>
    <t>136/1-65/2026</t>
  </si>
  <si>
    <t>EBALE RESIDENCE - Redevance mensuelle 01/2026</t>
  </si>
  <si>
    <t>136/1-66/2026</t>
  </si>
  <si>
    <t>136/1-67/2026</t>
  </si>
  <si>
    <t>LFRD - Redevance mensuelle 01/2026</t>
  </si>
  <si>
    <t>C.H. MONKOLE - Redevance 01/2026</t>
  </si>
  <si>
    <t>136/1-68/2026</t>
  </si>
  <si>
    <t>US EMBASSY - Redevance PANORAMA 01/2026</t>
  </si>
  <si>
    <t>136/1-69/2026</t>
  </si>
  <si>
    <t>AMBABEL - Redevance mensuelle 01/2025</t>
  </si>
  <si>
    <t>136/1-70/2026</t>
  </si>
  <si>
    <t>MONUSCO - Redevance 1er TRIM.2026</t>
  </si>
  <si>
    <t>BRITISH EMBASSY - Redevance mensuelle 01/2026</t>
  </si>
  <si>
    <t>136/1-71/2026</t>
  </si>
  <si>
    <t>136/1-72/2026</t>
  </si>
  <si>
    <t>136/1-73/2026</t>
  </si>
  <si>
    <t>BANQUE MONDIALE - Redevance mensuelle 01/2026</t>
  </si>
  <si>
    <t>2026.01/DA/58</t>
  </si>
  <si>
    <t>2026.01/DA/59</t>
  </si>
  <si>
    <t>2026.01/DA/60</t>
  </si>
  <si>
    <t>2026.01/DA/61</t>
  </si>
  <si>
    <t>2026.01/DA/62</t>
  </si>
  <si>
    <t>2026.01/DA/63</t>
  </si>
  <si>
    <t>2026.01/DA/64</t>
  </si>
  <si>
    <t>136/1-74/2026</t>
  </si>
  <si>
    <t>UTEXAFRICA - Redevance BOIS NOBLES 2B 01/2026</t>
  </si>
  <si>
    <t>EBCDC - Redevance &amp; surveillance escalators 01/2026</t>
  </si>
  <si>
    <t>136/1-75/2026</t>
  </si>
  <si>
    <t>136/1-76/2026</t>
  </si>
  <si>
    <t>136/1-77/2026</t>
  </si>
  <si>
    <t>136/1-78/2026</t>
  </si>
  <si>
    <t>136/1-79/2026</t>
  </si>
  <si>
    <t>136/1-80/2026</t>
  </si>
  <si>
    <t>TALGARTH HOLDING INC - Redevance BAMBOU 01-02/2026</t>
  </si>
  <si>
    <t>TALGARTH HOLDING INC - Redevance EQUATEUR 01-02/2026</t>
  </si>
  <si>
    <t>IMMOKIN - Redevance TILAPIA 01-02/2026</t>
  </si>
  <si>
    <t>MIDEMA - Redevance mensuelle 01/2026</t>
  </si>
  <si>
    <t>MAJESTIC RIVER - Redevance mensuelle 01/2026</t>
  </si>
  <si>
    <t>SOGIC - Redevance ROI BOULEVARD 01/2026</t>
  </si>
  <si>
    <t>136/1-81/2026</t>
  </si>
  <si>
    <t>Monsieur KETELEER PRINCE - Entretien clim 12/202</t>
  </si>
  <si>
    <t>LYS SARL - Redevance LYS TOWER 12/2025</t>
  </si>
  <si>
    <t>SN ZHENDRE - Frais dédouanement colis AERO/LUANO</t>
  </si>
  <si>
    <t xml:space="preserve">MONUSCO </t>
  </si>
  <si>
    <t xml:space="preserve">BRITISH EMBASSY </t>
  </si>
  <si>
    <t>136/1-82/2026</t>
  </si>
  <si>
    <t>136/1-83/2026</t>
  </si>
  <si>
    <t>136/1-84/2026</t>
  </si>
  <si>
    <t>2026/DT/01/20</t>
  </si>
  <si>
    <t>RAWBANK - Entretien clim 1erTOUR  2026.01/DT/16</t>
  </si>
  <si>
    <t>2026/DT/01/18</t>
  </si>
  <si>
    <t>EJCSDJ - Fo&amp;po 2 fans moteur chiller 2026.01/DT/18</t>
  </si>
  <si>
    <t>EJCSDJ - Entretien clim 1er TRIM. 2026.01/DT/19</t>
  </si>
  <si>
    <t>2026/DT/01/19</t>
  </si>
  <si>
    <t xml:space="preserve">TCK </t>
  </si>
  <si>
    <t xml:space="preserve">BELTEXCO 2 </t>
  </si>
  <si>
    <t>BELTEXCO 1</t>
  </si>
  <si>
    <t>136/1-85/2026</t>
  </si>
  <si>
    <t>136/1-86/2026</t>
  </si>
  <si>
    <t>Immeuble SERKAS - Redevance 01/2026</t>
  </si>
  <si>
    <t>2026.01/DA/65</t>
  </si>
  <si>
    <t>2026.01/DA/67</t>
  </si>
  <si>
    <t>AFRICANA PALACE - Redevance 01/2026</t>
  </si>
  <si>
    <t>136/1-87/2026</t>
  </si>
  <si>
    <t>2026.01/DA/66</t>
  </si>
  <si>
    <t>Immeuble DELPHIN (LA GRACE DE DIEU) - Redevance 01/2026</t>
  </si>
  <si>
    <t xml:space="preserve">DEVIMCO </t>
  </si>
  <si>
    <t>2025/DA/165</t>
  </si>
  <si>
    <t xml:space="preserve">MAJESTIC RIVER </t>
  </si>
  <si>
    <t xml:space="preserve">TALGARTH HOLDING INC </t>
  </si>
  <si>
    <t>Immeuble SERKAS</t>
  </si>
  <si>
    <t>AFRICANA PALACE</t>
  </si>
  <si>
    <t>MIDEMA (Facture 2025)</t>
  </si>
  <si>
    <t>2026.01/SN/21</t>
  </si>
  <si>
    <t>LYS SARL - Redevance LYS CENTER 12/2025</t>
  </si>
  <si>
    <t>2026.01/SN/22</t>
  </si>
  <si>
    <t>LYS SARL - Redevance LYS TOWER 01/2026</t>
  </si>
  <si>
    <t>LYS SARL - Redevance LYS CENTER 01/2026</t>
  </si>
  <si>
    <t>2026.01/SN/23</t>
  </si>
  <si>
    <t>2026.01/SN/24</t>
  </si>
  <si>
    <t>2026.01/SN/25</t>
  </si>
  <si>
    <t>ESPACE SHADARY - Redevance NYEMBO 01/2026</t>
  </si>
  <si>
    <t>2026.01/SN/26</t>
  </si>
  <si>
    <t>2026.01/SN/27</t>
  </si>
  <si>
    <t>2026.01/SN/28</t>
  </si>
  <si>
    <t>2026.01/SN/30</t>
  </si>
  <si>
    <t>2026.01/SN/31</t>
  </si>
  <si>
    <t>2026.01/SN/32</t>
  </si>
  <si>
    <t>2026.01/SN/33</t>
  </si>
  <si>
    <t>2026.01/SN/34</t>
  </si>
  <si>
    <t>A ONE CONSTRUCTION - Redevance PANORAMIQUE (ESTORIL) 02/2026</t>
  </si>
  <si>
    <t>LYS SARL - Redevance LYS TOWER 02/2026</t>
  </si>
  <si>
    <t>IMMEUBLE TATELIE - Redevance mensuelle 01/2026</t>
  </si>
  <si>
    <t>IMMEUBLE IMANI - Redevance mensuelle 02/2026</t>
  </si>
  <si>
    <t>RESIDENCE EMERAUDE - Entretien general clim 1er TOUR 2026</t>
  </si>
  <si>
    <t>LYS SARL - Dépannage machines VRV 2é&amp;3é Etage LYS CENTER</t>
  </si>
  <si>
    <t>LYS SARL - Dépannage clim BOUTIQUE COULOIR LYS CENTER</t>
  </si>
  <si>
    <t>SHEHENAJ L.M. - Redevance PACIFIQUE 02/2026</t>
  </si>
  <si>
    <t>136/1-88/2026</t>
  </si>
  <si>
    <t>136/1-89/2026</t>
  </si>
  <si>
    <t>136/1-90/2026</t>
  </si>
  <si>
    <t>136/1-91/2026</t>
  </si>
  <si>
    <t>136/1-92/2026</t>
  </si>
  <si>
    <t>136/1-93/2026</t>
  </si>
  <si>
    <t>136/1-94/2026</t>
  </si>
  <si>
    <t>136/1-95/2026</t>
  </si>
  <si>
    <t>136/1-96/2026</t>
  </si>
  <si>
    <t>136/1-97/2026</t>
  </si>
  <si>
    <t>136/1-98/2026</t>
  </si>
  <si>
    <t>136/1-99/2026</t>
  </si>
  <si>
    <t>136/1-100/2026</t>
  </si>
  <si>
    <t>136/1-101/2026</t>
  </si>
  <si>
    <t>COMPAGNIE SUCRIERE - Supplment Dépannage 4eTRIM.2025</t>
  </si>
  <si>
    <t>2026/DT/01/21</t>
  </si>
  <si>
    <t>UTEXAFRICA - Entretien clim 3eTRIM.2025</t>
  </si>
  <si>
    <t>2026/DT/01/22</t>
  </si>
  <si>
    <t>COTEX - Entretien clim 3eQUATRIM.2025</t>
  </si>
  <si>
    <t>2026/DT/01/23</t>
  </si>
  <si>
    <t>2026/DT/01/24</t>
  </si>
  <si>
    <t>COMPAGNIE SUCRIERE - Entretien 1eTOUR.2026</t>
  </si>
  <si>
    <t>COMPAGNIE SUCRIERE - Fo&amp;po 1 split LG 18000BTU / Salle DC</t>
  </si>
  <si>
    <t>2026/DT/01/25</t>
  </si>
  <si>
    <t>2026/DT/01/26</t>
  </si>
  <si>
    <t>TMB - Entretien 2 cassettes VERTI 1erTOUR2026</t>
  </si>
  <si>
    <t>136/1-102/2026</t>
  </si>
  <si>
    <t>136/1-103/2026</t>
  </si>
  <si>
    <t>136/1-104/2026</t>
  </si>
  <si>
    <t>BANQUE MONDIALE - Redevance 02/2026</t>
  </si>
  <si>
    <t>2026.01/DA/78</t>
  </si>
  <si>
    <t>TMB - Redevance VICTOIRE 02/2026</t>
  </si>
  <si>
    <t>2026.01/DA/76</t>
  </si>
  <si>
    <t>BELTEXCO 1 - Redevance 02/2026</t>
  </si>
  <si>
    <t>2026.01/DA/75</t>
  </si>
  <si>
    <t>2026.01/DA/68</t>
  </si>
  <si>
    <t>2026.01/DA/69</t>
  </si>
  <si>
    <t>2026.01/DA/70</t>
  </si>
  <si>
    <t>2026.01/DA/71</t>
  </si>
  <si>
    <t>2026.01/DA/74</t>
  </si>
  <si>
    <t>DEVIMCO - Redevance AMBASSADEUR 02/2026</t>
  </si>
  <si>
    <t>DEVIMCO - Redevance TRADITION 02/2026</t>
  </si>
  <si>
    <t>DEVIMCO - Redevance CONCORDE 02/2026</t>
  </si>
  <si>
    <t>TMB - Redevance DG 02/2026</t>
  </si>
  <si>
    <t>SOGIC - Redevance BOULEVARD 02/2026</t>
  </si>
  <si>
    <t>SOGIC - Redevance ROI BAUDOUIN 02/2026</t>
  </si>
  <si>
    <t>BELTEXCO 2 - Redevance 02/2026</t>
  </si>
  <si>
    <t>EJCSDJ</t>
  </si>
  <si>
    <t>IMMOKIN</t>
  </si>
  <si>
    <t>US EMBASSY - Redevance PANORAMA 02/2026</t>
  </si>
  <si>
    <t>2026.01/DA/77</t>
  </si>
  <si>
    <t>2026.01/SN/35</t>
  </si>
  <si>
    <t>2026.01/SN/36</t>
  </si>
  <si>
    <t>2026.01/SN/37</t>
  </si>
  <si>
    <t>2026.01/SN/38</t>
  </si>
  <si>
    <t>2026.01/SN/39</t>
  </si>
  <si>
    <t>2026.01/SN/40</t>
  </si>
  <si>
    <t>2026.01/SN/41</t>
  </si>
  <si>
    <t>2026.01/SN/42</t>
  </si>
  <si>
    <t>2026.01/SN/43</t>
  </si>
  <si>
    <t>2026.01/SN/44</t>
  </si>
  <si>
    <t>2026.01/SN/45</t>
  </si>
  <si>
    <t>2026.01/SN/46</t>
  </si>
  <si>
    <t>136/1-105/2026</t>
  </si>
  <si>
    <t>2026.02/SN/29</t>
  </si>
  <si>
    <t>LYS SARL - Entretien condenseur VRV+8 Evapo EUNICE/VILLA 5</t>
  </si>
  <si>
    <t>136/1-106/2026</t>
  </si>
  <si>
    <t>136/1-107/2026</t>
  </si>
  <si>
    <t>136/1-108/2026</t>
  </si>
  <si>
    <t>136/1-109/2026</t>
  </si>
  <si>
    <t>136/1-110/2026</t>
  </si>
  <si>
    <t>136/1-111/2026</t>
  </si>
  <si>
    <t>136/1-112/2026</t>
  </si>
  <si>
    <t>136/1-113/2026</t>
  </si>
  <si>
    <t>136/1-114/2026</t>
  </si>
  <si>
    <t>136/1-115/2026</t>
  </si>
  <si>
    <t>136/1-116/2026</t>
  </si>
  <si>
    <t>136/1-117/2026</t>
  </si>
  <si>
    <t>C.H. MONKOLE - Redevance 02/2026</t>
  </si>
  <si>
    <t>2026.01/DA/86</t>
  </si>
  <si>
    <t>IAG - Redevance CONCESSION 02/2026</t>
  </si>
  <si>
    <t>2026.01/DA/84</t>
  </si>
  <si>
    <t>DEVIMCO - Redevance PRESTIGE 02/2026</t>
  </si>
  <si>
    <t>2026.01/DA/82</t>
  </si>
  <si>
    <t>LFRD - Redevance 02/2026</t>
  </si>
  <si>
    <t>2026.01/DA/83</t>
  </si>
  <si>
    <t>UTEXAFRICA /BOIS NOBLES - Redevance 02/2026</t>
  </si>
  <si>
    <t>2026.01/DA/80</t>
  </si>
  <si>
    <t xml:space="preserve">TALGARTH HOLDING INC - Divers depannage BAMBOU </t>
  </si>
  <si>
    <t>2026.01/DA/79</t>
  </si>
  <si>
    <t>IMMEUBLE MARIE YVETTE - Redevance mensuelle 02/2026</t>
  </si>
  <si>
    <t>COMMUNAUTE HELLENIQUE - Redevance 02/2026</t>
  </si>
  <si>
    <t>2026.01/DA/85</t>
  </si>
  <si>
    <t>136/1-118/2026</t>
  </si>
  <si>
    <t>2026/DT/01/31</t>
  </si>
  <si>
    <t>JAPAN MOTORS - Entretien 1erTOUR 02/2026</t>
  </si>
  <si>
    <t>2026/DT/01/30</t>
  </si>
  <si>
    <t>MAJESTIC RIVER - Entretien &amp; depannage cuisine</t>
  </si>
  <si>
    <t>UTEXAFRICA - Depannages divers KOTIBE 3-4 &amp;IZOMBE 2</t>
  </si>
  <si>
    <t>2026/DT/01/29</t>
  </si>
  <si>
    <t>UTEXAFRICA - Demontage&amp;montage spli GREE ZINGANA 16</t>
  </si>
  <si>
    <t>2026/DT/01/28</t>
  </si>
  <si>
    <t>2026/DT/01/27</t>
  </si>
  <si>
    <t>UNICEF - Maintenance &amp; surveillance HUB KINKOLE 01/2026</t>
  </si>
  <si>
    <t>2026.01/DA/81</t>
  </si>
  <si>
    <t>IMMEUBLE WAGENIA - Redevance 02/2026</t>
  </si>
  <si>
    <t>2026/DT/01/17</t>
  </si>
  <si>
    <t>PRIMMO - Avancement travaux clim n°1</t>
  </si>
  <si>
    <t>JAPAN MOTORS</t>
  </si>
  <si>
    <t>2026.02/DA/72</t>
  </si>
  <si>
    <t>2026.02/DA/73</t>
  </si>
  <si>
    <t xml:space="preserve">COMMUNAUTE HELLENIQUE </t>
  </si>
  <si>
    <t xml:space="preserve">Immeuble DELPHIN (LA GRACE DE DIEU) </t>
  </si>
  <si>
    <t>RESIDENCE KAWELE - Redevance mensuelle 02/2026</t>
  </si>
  <si>
    <t>ESPACE SHADARY - Redevance CITE VERTE 02/2026</t>
  </si>
  <si>
    <t>LIBERTY - Redevance 02/2026</t>
  </si>
  <si>
    <t>DEV GROUP - Redevance DEV SOLAIRE 02/2026</t>
  </si>
  <si>
    <t>IMMEUBLE LEGREY - Redevance 02/2026</t>
  </si>
  <si>
    <t>ESPACE SHADARY - Redevance LUBEFU 02/2026</t>
  </si>
  <si>
    <t>ESPACE SHADARY - Redevance NYEMBO 02/2026</t>
  </si>
  <si>
    <t>136/1-119/2026</t>
  </si>
  <si>
    <t>136/1-120/2026</t>
  </si>
  <si>
    <t>136/1-121/2026</t>
  </si>
  <si>
    <t>136/1-122/2026</t>
  </si>
  <si>
    <t>136/1-123/2026</t>
  </si>
  <si>
    <t>136/1-124/2026</t>
  </si>
  <si>
    <t>136/1-125/2026</t>
  </si>
  <si>
    <t>136/1-126/2026</t>
  </si>
  <si>
    <t>136/1-127/2026</t>
  </si>
  <si>
    <t>136/1-128/2026</t>
  </si>
  <si>
    <t>136/1-129/2026</t>
  </si>
  <si>
    <t>136/1-130/2026</t>
  </si>
  <si>
    <t>136/1-131/2026</t>
  </si>
  <si>
    <t>COMPAGNIE SUCRIERE - Fo&amp;po 1 split LG 18000BTU, 1 disjoncteur CV2 Mson Phillippe</t>
  </si>
  <si>
    <t>2026/DT/01/35</t>
  </si>
  <si>
    <t>MAJESTIC RIVER - Redevance mensuelle 02/2026</t>
  </si>
  <si>
    <t>2026.01/DA/87</t>
  </si>
  <si>
    <t xml:space="preserve">TALGARTH HOLDING INC - Raccoucissement cables &amp; Fo, po 6 serre-cables BAMBOU </t>
  </si>
  <si>
    <t>2026.01/DA/88</t>
  </si>
  <si>
    <t>2026.01/DA/89</t>
  </si>
  <si>
    <t>2026.01/DA/90</t>
  </si>
  <si>
    <t>2026.01/DA/91</t>
  </si>
  <si>
    <t>2026.01/DA/92</t>
  </si>
  <si>
    <t>2026.01/DA/93</t>
  </si>
  <si>
    <t>2026.01/DA/94</t>
  </si>
  <si>
    <t>EBALE RESIDENCE - Redevance mensuelle 02/2026</t>
  </si>
  <si>
    <t>AFRICANA PALACE - Redevance mensuelle 02/2026</t>
  </si>
  <si>
    <t>IMMEUBLE DELPHIN - Redevance mensuelle 02/2026</t>
  </si>
  <si>
    <t>IMMEUBLE SERKAS - Redevance mensuelle 02/2026</t>
  </si>
  <si>
    <t>MIDEMA - Redevance mensuelle 02/2026</t>
  </si>
  <si>
    <t>AMBASSADE BRITANNIQUE - Redevance mensuelle 02/2026</t>
  </si>
  <si>
    <t>2026.01/DA/95</t>
  </si>
  <si>
    <t>AMBASSADE DE BELGIQUE - Redevance mensuelle 02/2026</t>
  </si>
  <si>
    <t>EXCELLERATE PROPERTY - Dépannage cassette</t>
  </si>
  <si>
    <t>2026/DT/01/32</t>
  </si>
  <si>
    <t>2026/DT/01/33</t>
  </si>
  <si>
    <t>2026/DT/01/34</t>
  </si>
  <si>
    <t>EXCELLERATE PROPERTY - Dépannage cassette VRV</t>
  </si>
  <si>
    <t>EXCELLERATE PROPERTY - Récharge freon R410</t>
  </si>
  <si>
    <r>
      <t xml:space="preserve">RAWBANK </t>
    </r>
    <r>
      <rPr>
        <b/>
        <sz val="11"/>
        <color rgb="FFFF0000"/>
        <rFont val="Calibri"/>
        <family val="2"/>
      </rPr>
      <t>( TVA NON PAYE)</t>
    </r>
  </si>
  <si>
    <t>Monsieur THOMAS - Entretien clim 12/2025</t>
  </si>
  <si>
    <t>FACTURATION SN - FEVRIER 2026</t>
  </si>
  <si>
    <t>136/1-132/2026</t>
  </si>
  <si>
    <t>136/1-133/2026</t>
  </si>
  <si>
    <t>136/1-134/2026</t>
  </si>
  <si>
    <t>136/1-135/2026</t>
  </si>
  <si>
    <t>136/1-136/2026</t>
  </si>
  <si>
    <t>136/1-137/2026</t>
  </si>
  <si>
    <t>136/1-138/2026</t>
  </si>
  <si>
    <t>136/1-139/2026</t>
  </si>
  <si>
    <t>136/1-140/2026</t>
  </si>
  <si>
    <t>136/1-142/2026</t>
  </si>
  <si>
    <t>2026/DT/01/37</t>
  </si>
  <si>
    <t>UTEXAFRICA - Charge freon R22</t>
  </si>
  <si>
    <t>2026/DT/01/38</t>
  </si>
  <si>
    <t>2026/DT/01/39</t>
  </si>
  <si>
    <t>2026/DT/01/40</t>
  </si>
  <si>
    <t>2026/DT/01/41</t>
  </si>
  <si>
    <t>2026/DT/01/42</t>
  </si>
  <si>
    <t>2026/DT/01/43</t>
  </si>
  <si>
    <t>2026/DT/01/44</t>
  </si>
  <si>
    <t>2026/DT/01/45</t>
  </si>
  <si>
    <t>COTEX - Demontage&amp;montage split LG 24000BTU 3C</t>
  </si>
  <si>
    <t>COTEX - Diverses interventions machine VRV SILIKIN</t>
  </si>
  <si>
    <t>EJCSDJ - Fo&amp;po 2flexibles+accessoires BUANDERIE &amp; vanne à Baptisroom</t>
  </si>
  <si>
    <t>Immeuble WAGENIA - Entretien split Local SERVEUR</t>
  </si>
  <si>
    <t>RAWBANK - Démontage&amp;montage 5 splits Residence KIALA</t>
  </si>
  <si>
    <t>RAWBANK - Montage split Bureau DISPATCHING CHAROOI/SIEGE</t>
  </si>
  <si>
    <t>LFRD - Diverses interventions LYCEE &amp; Apt BATIMENT</t>
  </si>
  <si>
    <t>136/1-141/2026</t>
  </si>
  <si>
    <t>LFRD - Entretien 59 splits 1erQUADRIMESTRE 2026 APPARTEMENTS</t>
  </si>
  <si>
    <t>AGL - Entretien clim 4eTRIM.2025 - 2026.01/DT/12</t>
  </si>
  <si>
    <t>AGL - Dépannage clim 4eTRIM.2025 - 2026.01/DT/13</t>
  </si>
  <si>
    <t>136/1-143/2026</t>
  </si>
  <si>
    <t>136/1-144/2026</t>
  </si>
  <si>
    <t>136/1-145/2026</t>
  </si>
  <si>
    <t>136/1-146/2026</t>
  </si>
  <si>
    <t>136/1-147/2026</t>
  </si>
  <si>
    <t>136/1-148/2026</t>
  </si>
  <si>
    <t>136/1-149/2026</t>
  </si>
  <si>
    <t>136/1-150/2026</t>
  </si>
  <si>
    <t>136/1-151/2026</t>
  </si>
  <si>
    <t>136/1-152/2026</t>
  </si>
  <si>
    <t>136/1-153/2026</t>
  </si>
  <si>
    <t>136/1-154/2026</t>
  </si>
  <si>
    <t>136/1-155/2026</t>
  </si>
  <si>
    <t>2026/DT/01/46</t>
  </si>
  <si>
    <t>2026/DT/01/47</t>
  </si>
  <si>
    <t>TMB - Démontage valve de sécurité MACHINE/VERTIV DG</t>
  </si>
  <si>
    <t>UTEXAFRICA - Vérification fonctionnement extracteur cuisine IZOMBI 1</t>
  </si>
  <si>
    <t>2026/DT/01/48</t>
  </si>
  <si>
    <t>2026/DT/01/49</t>
  </si>
  <si>
    <t>MAJESTIC RIVER - Depannage Chambre froide négative</t>
  </si>
  <si>
    <t>LPL -Dépannage clim splits Local B14&amp;Technique / LYCEE</t>
  </si>
  <si>
    <t>2026.01/DA/96</t>
  </si>
  <si>
    <t>DEVIMCO - Redevance AMBASSADEUR 03/2026</t>
  </si>
  <si>
    <t>BELTEXCO 2 - Redevance 03/2026</t>
  </si>
  <si>
    <t>2026.01/DA/97</t>
  </si>
  <si>
    <t>2026.01/DA/98</t>
  </si>
  <si>
    <t>2026.01/DA/99</t>
  </si>
  <si>
    <t>2026.01/DA/100</t>
  </si>
  <si>
    <t>2026.01/DA/101</t>
  </si>
  <si>
    <t>2026.01/DA/102</t>
  </si>
  <si>
    <t>2026.01/DA/103</t>
  </si>
  <si>
    <t>2026.01/DA/104</t>
  </si>
  <si>
    <t>MAJESTIC RIVER - Fo&amp;po 1 contact à clé complet</t>
  </si>
  <si>
    <t>AFRICANA PALACE - Redevance mensuelle 03/2026</t>
  </si>
  <si>
    <t>UTEXAFRICA/BOIS NOBLES - Redevance 03/2026</t>
  </si>
  <si>
    <t>EBCDC - Redevance &amp; surveillance mensuelle 03/2026</t>
  </si>
  <si>
    <t>TMB - Redevance mensuelle DG 03/2026</t>
  </si>
  <si>
    <t>IAG - Redevance CONCESSION 03/2026</t>
  </si>
  <si>
    <t>136/1-156/2026</t>
  </si>
  <si>
    <t>2026.01/DA/105</t>
  </si>
  <si>
    <t>BELTEXCO 1 - Redevance 03/2026</t>
  </si>
  <si>
    <t>DEVIMCO - Redevance mensuelle PRESTIGE 03/2026</t>
  </si>
  <si>
    <t>FACTURE D'AVOIR - ANNULATION 136/1-22/2026 SILIKIN VILLAGE</t>
  </si>
  <si>
    <r>
      <t xml:space="preserve">RAWBANK SARL - Entretien clim 1eTRIM.2026 </t>
    </r>
    <r>
      <rPr>
        <b/>
        <sz val="11"/>
        <color rgb="FFFF0000"/>
        <rFont val="Calibri"/>
        <family val="2"/>
      </rPr>
      <t>(corrigé 4eTRIM.2025)</t>
    </r>
  </si>
  <si>
    <t>136/1-157/2026</t>
  </si>
  <si>
    <t>136/1-158/2026</t>
  </si>
  <si>
    <t>136/1-159/2026</t>
  </si>
  <si>
    <t>136/1-160/2026</t>
  </si>
  <si>
    <t>136/1-161/2026</t>
  </si>
  <si>
    <t>136/1-162/2026</t>
  </si>
  <si>
    <t>136/1-163/2026</t>
  </si>
  <si>
    <t>136/1-164/2026</t>
  </si>
  <si>
    <t>136/1-165/2026</t>
  </si>
  <si>
    <t>136/1-166/2026</t>
  </si>
  <si>
    <t>136/1-167/2026</t>
  </si>
  <si>
    <t>136/1-168/2026</t>
  </si>
  <si>
    <t>136/1-169/2026</t>
  </si>
  <si>
    <t>136/1-170/2026</t>
  </si>
  <si>
    <t>136/1-171/2026</t>
  </si>
  <si>
    <t>136/1-172/2026</t>
  </si>
  <si>
    <t>136/1-173/2026</t>
  </si>
  <si>
    <t>136/1-174/2026</t>
  </si>
  <si>
    <t>136/1-175/2026</t>
  </si>
  <si>
    <t>136/1-176/2026</t>
  </si>
  <si>
    <t>2026/DT/01/50</t>
  </si>
  <si>
    <t>PGHK - Reception provisoire travaux (87%)</t>
  </si>
  <si>
    <t>2026/DT/01/51</t>
  </si>
  <si>
    <t>UTEXAFRICA - Fo&amp;po 2 splits GREE 18000BTU Bat 128</t>
  </si>
  <si>
    <t>2026/DT/01/52</t>
  </si>
  <si>
    <t>UTEXAFRICA - Fo 10 antivols condenseurs BCECO</t>
  </si>
  <si>
    <t>2026/DT/01/53</t>
  </si>
  <si>
    <t>TCK - Entretien 14 splits 1er TRIM.2026</t>
  </si>
  <si>
    <t>2026/DT/01/54</t>
  </si>
  <si>
    <t>RAWBANK - Entretien general clim ATRIUM 1er TRIM.2026</t>
  </si>
  <si>
    <t>2026/DT/01/55</t>
  </si>
  <si>
    <t>PGHK - Avancement travaux n°8</t>
  </si>
  <si>
    <t>2026/DT/01/56</t>
  </si>
  <si>
    <t>2026/DT/01/57</t>
  </si>
  <si>
    <t xml:space="preserve">AMBASSADE BRITANNIQUE - Demontage&amp;pose 3 splits </t>
  </si>
  <si>
    <t>PRIMMO - Avancement travaux clim n°2</t>
  </si>
  <si>
    <t>2026/DT/01/58</t>
  </si>
  <si>
    <t>2026/DT/01/59</t>
  </si>
  <si>
    <t>RAWBANK - Debouchage écoulement condenseur split Apt 3 PERRAZONE</t>
  </si>
  <si>
    <t>LFRD - Redevance 03/2026</t>
  </si>
  <si>
    <t>2026.01/DA/106</t>
  </si>
  <si>
    <t>Immeuble WAGENIA - Redevance 03/2026</t>
  </si>
  <si>
    <t>2026.01/DA/107</t>
  </si>
  <si>
    <t>TMB - Redevance mensuelle VICTOIRE 03/2026</t>
  </si>
  <si>
    <t>2026.01/DA/108</t>
  </si>
  <si>
    <t>2026.01/DA/109</t>
  </si>
  <si>
    <t>2026.01/DA/110</t>
  </si>
  <si>
    <t>2026.01/DA/111</t>
  </si>
  <si>
    <t>2026.01/DA/112</t>
  </si>
  <si>
    <t>2026.01/DA/113</t>
  </si>
  <si>
    <t>US EMBASSY - Redevance PANORAMA 03/2026</t>
  </si>
  <si>
    <t>BANQUE MONDIALE - Redevance 03/2026</t>
  </si>
  <si>
    <t>MAJESTIC RIVER - Redevance mensuelle 03/2026</t>
  </si>
  <si>
    <t>TMB - Redressement porte monte charges 1er NIVEAU</t>
  </si>
  <si>
    <t>DEVIMCO - Fo&amp;po 1 bouton appel cabine BLOC A / CONCORDE</t>
  </si>
  <si>
    <t>136/1-15-74/2026</t>
  </si>
  <si>
    <t>136/1-97-107-111/2026</t>
  </si>
  <si>
    <t>EXCELLERATE - Facture 2025/DT/104</t>
  </si>
  <si>
    <t>136/1-100-122/2026</t>
  </si>
  <si>
    <t>2026/DT/01/25-35</t>
  </si>
  <si>
    <t>2026.01/DA/74-75</t>
  </si>
  <si>
    <t>136/1-94-95/2026</t>
  </si>
  <si>
    <t>136/1-52-88-89-90/2026</t>
  </si>
  <si>
    <t>136/1-8-66/2026</t>
  </si>
  <si>
    <t>136/1-47-48/2026</t>
  </si>
  <si>
    <t>136/1-148-154/2026</t>
  </si>
  <si>
    <t>2026.06/DT/54</t>
  </si>
  <si>
    <t>2026.01/DA/8-49</t>
  </si>
  <si>
    <t>2026.01/DA/02</t>
  </si>
  <si>
    <t>2026.01/DA/97-104</t>
  </si>
  <si>
    <t>136/1-177/2026</t>
  </si>
  <si>
    <t>IMMEUBLE DELPHIN - Redevance mensuelle 03/2026</t>
  </si>
  <si>
    <t>2026.01/DA/114</t>
  </si>
  <si>
    <t>DEVIMCO - Redevance CONCORDE 03/2026</t>
  </si>
  <si>
    <t>2026.01/DA/115</t>
  </si>
  <si>
    <t>136/1-178/2026</t>
  </si>
  <si>
    <t>136/1-179/2026</t>
  </si>
  <si>
    <t>136/1-180/2026</t>
  </si>
  <si>
    <t>DEVIMCO - Redevance TRADITIONE 03/2026</t>
  </si>
  <si>
    <t>2026.01/DA/116</t>
  </si>
  <si>
    <t>AMBASSADE BRITANNIQUE - Redevance mensuelle 03/2026</t>
  </si>
  <si>
    <t>2026.01/DA/117</t>
  </si>
  <si>
    <t>AMBABEL - Redevance 03/2026</t>
  </si>
  <si>
    <t>2026.01/DA/118</t>
  </si>
  <si>
    <t>136/1-181/2026</t>
  </si>
  <si>
    <t>2026.01/DA/119</t>
  </si>
  <si>
    <t>136/1-182/2026</t>
  </si>
  <si>
    <t>MIDEMA - Redevance 03/2026</t>
  </si>
  <si>
    <t>SOGIC - Redevance BOULEVARD 03/2026</t>
  </si>
  <si>
    <t>136/1-183/2026</t>
  </si>
  <si>
    <t>2026.01/DA/120</t>
  </si>
  <si>
    <t>SOGIC - Redevance ROI BAUDOUIN 03/2026</t>
  </si>
  <si>
    <t>2026.01/DA/121</t>
  </si>
  <si>
    <t>136/1-184/2026</t>
  </si>
  <si>
    <t>136/1-185/2026</t>
  </si>
  <si>
    <t>2026.01/DA/123</t>
  </si>
  <si>
    <t>EBALE RESIDENCE - Redevance 03/2026</t>
  </si>
  <si>
    <t>IMMEUBLE SERKAS - Redevance 03/2026</t>
  </si>
  <si>
    <t>2026.01/DA/124</t>
  </si>
  <si>
    <t>136/1-186/2026</t>
  </si>
  <si>
    <t>136/1-187/2026</t>
  </si>
  <si>
    <t>2026.01/DA/125</t>
  </si>
  <si>
    <t>C.H. MONKOLE - Redevance ASC&amp;MONTE CHARGES 03/2026</t>
  </si>
  <si>
    <t>COMMUNAUTE HELLENIQUE - Redevance 03/2026</t>
  </si>
  <si>
    <t>2026.01/DA/126</t>
  </si>
  <si>
    <t>136/1-188/2026</t>
  </si>
  <si>
    <t>2026.01/DA/127</t>
  </si>
  <si>
    <t>136/1-189/2026</t>
  </si>
  <si>
    <t>TALGARTH HOLDING INC - Redevance BAMBOU 03-04/2026</t>
  </si>
  <si>
    <t>TALGARTH HOLDING INC - Redevance EQUATEUR 03-04/2026</t>
  </si>
  <si>
    <t>2026.01/DA/128</t>
  </si>
  <si>
    <t>136/1-190/2026</t>
  </si>
  <si>
    <t>2026.01/DA/129</t>
  </si>
  <si>
    <t>136/1-191/2026</t>
  </si>
  <si>
    <t>IMMOKIN - Redevance bimensuelle TILAPIA 03-04/2026</t>
  </si>
  <si>
    <t>EBCDC - Redevance &amp; surveillance escalators 03/2026</t>
  </si>
  <si>
    <t>2026.01/DA/130</t>
  </si>
  <si>
    <t>136/1-192/2026</t>
  </si>
  <si>
    <r>
      <t xml:space="preserve">IMMEUBLE TATELIE - Redevance mensuelle 01/2026 - </t>
    </r>
    <r>
      <rPr>
        <b/>
        <sz val="11"/>
        <color rgb="FFFF0000"/>
        <rFont val="Calibri"/>
        <family val="2"/>
        <scheme val="minor"/>
      </rPr>
      <t>DECEMBRE ???</t>
    </r>
  </si>
  <si>
    <t>2026.01/SN/47</t>
  </si>
  <si>
    <t>2026.01/SN/48</t>
  </si>
  <si>
    <t>2026.01/SN/49</t>
  </si>
  <si>
    <t>2026.01/SN/50</t>
  </si>
  <si>
    <t>2026.01/SN/51</t>
  </si>
  <si>
    <t>2026.01/SN/52</t>
  </si>
  <si>
    <t>2026.01/SN/53</t>
  </si>
  <si>
    <t>2026.01/SN/54</t>
  </si>
  <si>
    <t>2026.01/SN/55</t>
  </si>
  <si>
    <t>2026.01/SN/56</t>
  </si>
  <si>
    <t>2026.01/SN/57</t>
  </si>
  <si>
    <t>2026.01/SN/58</t>
  </si>
  <si>
    <t>2026.01/SN/59</t>
  </si>
  <si>
    <t>2026.01/SN/60</t>
  </si>
  <si>
    <t>2026.01/SN/61</t>
  </si>
  <si>
    <t>2026.01/SN/62</t>
  </si>
  <si>
    <t>2026.01/SN/63</t>
  </si>
  <si>
    <t>LYS SARL - Fo&amp;po 4 garnitures de PRS / LYS CENTER</t>
  </si>
  <si>
    <t>SHEHENAJ L.M. - Redevance PACIFIQUE 03/2026</t>
  </si>
  <si>
    <t>A ONE CONSTRUCTION - Redevance PANORAMIQUE (ESTORIL) 03/2026</t>
  </si>
  <si>
    <t>PROJET KIMPEVILLE - Installation &amp; mise en service ASC/KIMPEVILLE</t>
  </si>
  <si>
    <t>DEV GROUP - Redevance mensuelle 03/2026</t>
  </si>
  <si>
    <t>A ONE CONSTRUCTION - Fo&amp;po 1 Crate GECB-AP / PANORAMIQUE</t>
  </si>
  <si>
    <t>MR THOMAS - Chargement freon R22 split DAIKIN/BUREAU</t>
  </si>
  <si>
    <t>SHEHENAJ L.M. - Redevance COMMERCE (HARMONIE) 01/2026</t>
  </si>
  <si>
    <t>SHEHENAJ L.M. - Redevance COMMERCE (HARMONIE) 02/2026</t>
  </si>
  <si>
    <t>SHEHENAJ L.M. - Redevance COMMERCE (HARMONIE) 03/2026</t>
  </si>
  <si>
    <t>IMMEUBLE LEGREY - Fo&amp;po 4 galets porte cabine &amp; 4 glissieres ASC</t>
  </si>
  <si>
    <t>SHEHENAJ L.M. - Fo&amp;po support detecteur ASC/PACIFIQUE</t>
  </si>
  <si>
    <t>IMMEUBLE LEGREY - Redevance 03/2026</t>
  </si>
  <si>
    <t>LYS SARL - Redevance LYS CENTER 02/2026</t>
  </si>
  <si>
    <t>IMMEUBLE MARIE YVETTE - Redevance mensuelle 03/2026</t>
  </si>
  <si>
    <t>ESPACE SHADARY - Redevance NYEMBO 03/2026</t>
  </si>
  <si>
    <t>LYS SARL - Fo&amp;po 12 garnitures cabine ASC / LYS TOWER</t>
  </si>
  <si>
    <t>COMIMMO - Entretien 95 cassettes VRV avec 8 condenseurs &amp; 19 splits</t>
  </si>
  <si>
    <t>ESPACE SHADARY - Redevance CITE VERTE 03/2026</t>
  </si>
  <si>
    <t>RESIDENCE KAWELE - Redevance 03/2026</t>
  </si>
  <si>
    <t>LIBERTY - Redevance SUPER MARCHE LUSHI 03/2026</t>
  </si>
  <si>
    <t>136/1-193/2026</t>
  </si>
  <si>
    <t>2026.03/DA/122</t>
  </si>
  <si>
    <t xml:space="preserve">DEVIMCO - Fo&amp;po 1 remote RS14 PRESTIGE </t>
  </si>
  <si>
    <t>2026.01/SN/64</t>
  </si>
  <si>
    <t>2026.01/SN/65</t>
  </si>
  <si>
    <t>2026.01/SN/66</t>
  </si>
  <si>
    <t>2026.01/SN/67</t>
  </si>
  <si>
    <t>2026.01/SN/68</t>
  </si>
  <si>
    <t>IMMEUBLE TATELIE - Redevance mensuelle 03/2026</t>
  </si>
  <si>
    <t>IMMEUBLE IMANI - Redevance mensuelle 03/2026</t>
  </si>
  <si>
    <t>DFSN - Entretien general clim 1erTRIM.2026</t>
  </si>
  <si>
    <t>MAGASIN DIPLOMATIQUE - Entretien general clim 1erTRIM.2026</t>
  </si>
  <si>
    <t>FACTURATION SN - MARS 2026</t>
  </si>
  <si>
    <t>Mr PETER DEBOTTER - Entretien general clim AVRIL 2026</t>
  </si>
  <si>
    <t>136/1-194/2026</t>
  </si>
  <si>
    <t>136/1-195/2026</t>
  </si>
  <si>
    <t>136/1-196/2026</t>
  </si>
  <si>
    <t>136/1-197/2026</t>
  </si>
  <si>
    <t>136/1-198/2026</t>
  </si>
  <si>
    <t>136/1-199/2026</t>
  </si>
  <si>
    <t>136/1-200/2026</t>
  </si>
  <si>
    <t>136/1-201/2026</t>
  </si>
  <si>
    <t>136/1-202/2026</t>
  </si>
  <si>
    <t>136/1-203/2026</t>
  </si>
  <si>
    <t>136/1-204/2026</t>
  </si>
  <si>
    <t>136/1-205/2026</t>
  </si>
  <si>
    <t>136/1-206/2026</t>
  </si>
  <si>
    <t>136/1-207/2026</t>
  </si>
  <si>
    <t>136/1-208/2026</t>
  </si>
  <si>
    <t>136/1-209/2026</t>
  </si>
  <si>
    <t>136/1-210/2026</t>
  </si>
  <si>
    <t>136/1-211/2026</t>
  </si>
  <si>
    <t>136/1-212/2026</t>
  </si>
  <si>
    <t>136/1-213/2026</t>
  </si>
  <si>
    <t>136/1-214/2026</t>
  </si>
  <si>
    <t>136/1-215/2026</t>
  </si>
  <si>
    <t>136/1-216/2026</t>
  </si>
  <si>
    <t>136/1-217/2026</t>
  </si>
  <si>
    <t>2026.04/DT/73</t>
  </si>
  <si>
    <t>VLISCO - Deplecement &amp; mise en service VRV / GRANDE SALLE</t>
  </si>
  <si>
    <t>IMMO PETIT PONT - Depannage gainable VRV - VLISCO</t>
  </si>
  <si>
    <t>2026.03/DT/60</t>
  </si>
  <si>
    <t>2026.03/DT/61</t>
  </si>
  <si>
    <t>COTEX - Depannage clim bat5B &amp; 3C SILIKIN</t>
  </si>
  <si>
    <t>PGHK - Remise en état circuit hydrau CTA/SALON CONGO PHASE 1</t>
  </si>
  <si>
    <t>2026.03/DT/62</t>
  </si>
  <si>
    <t>COMPAGNIE SUCRIERE - Entretien general clim 1erTRIM.2026</t>
  </si>
  <si>
    <t>2026.03/DT/63</t>
  </si>
  <si>
    <t>2026.03/DT/64</t>
  </si>
  <si>
    <t>COMPAGNIE SUCRIERE - Dépannage clim 1erTRIM.2026</t>
  </si>
  <si>
    <t>2026.03/DT/65</t>
  </si>
  <si>
    <t>COMPAGNIE SUCRIERE - Montage 2 splits GREE 24000BTU Salle reunion</t>
  </si>
  <si>
    <t>2026.03/DT/66</t>
  </si>
  <si>
    <t>TMB - Entretien general 2 cassettes VERTIV 2eTOUR 2026</t>
  </si>
  <si>
    <t>2026.03/DT/67</t>
  </si>
  <si>
    <t>COTEX - Entretien general clim 1er TRIM.2026</t>
  </si>
  <si>
    <t>2026.03/DT/68</t>
  </si>
  <si>
    <t>ECOLE FRANCAISE - Entretien general clim 1er TOUR 2026</t>
  </si>
  <si>
    <t>2026.03/DT/69</t>
  </si>
  <si>
    <t>VLISCO - Dépannage VRV / VLISCO</t>
  </si>
  <si>
    <t>2026.03/DT/70</t>
  </si>
  <si>
    <t>2026.03/DT/71</t>
  </si>
  <si>
    <t>JAPAN MOTORS AFRICA - Travaux depannage CHAMBRE FROIDE</t>
  </si>
  <si>
    <t>TMB - Demontage 2 machines VERTIV - DG</t>
  </si>
  <si>
    <t>2026.04/DA/131</t>
  </si>
  <si>
    <t>IMMEUBLE WAGENIA - Redevance mensuelle 04/2026</t>
  </si>
  <si>
    <t>2026.04/DA/132</t>
  </si>
  <si>
    <t>2026.04/DA/133</t>
  </si>
  <si>
    <t>2026.04/DA/134</t>
  </si>
  <si>
    <t>2026.04/DA/135</t>
  </si>
  <si>
    <t>2026.04/DA/136</t>
  </si>
  <si>
    <t>2026.04/DA/137</t>
  </si>
  <si>
    <t>2026.04/DA/138</t>
  </si>
  <si>
    <t>2026.04/DA/139</t>
  </si>
  <si>
    <t>BANQUE MONDIALE - Redevance mensuelle  04/2026</t>
  </si>
  <si>
    <t>LFRD - Redevance mensuelle 04/2026</t>
  </si>
  <si>
    <t>IAG - Redevance CONCESSION 04/2026</t>
  </si>
  <si>
    <t>UTEXAFRICA/BOIS NOBLES - Redevance mensuelle 04/2026</t>
  </si>
  <si>
    <t>DEVIMCO - Redevance PRESTIGE 04/2026</t>
  </si>
  <si>
    <t>BELTEXCO 2 - Redevance mensuelle 04/2026</t>
  </si>
  <si>
    <t>BELTEXCO 1 - Redevance mensuelle 04/2026</t>
  </si>
  <si>
    <t>DEVIMCO - Redevance AMBASSADEUR 04/2026</t>
  </si>
  <si>
    <r>
      <t>IMMO PETIT PONT - Entretien general clim 4eTRIM.2025</t>
    </r>
    <r>
      <rPr>
        <b/>
        <sz val="11"/>
        <color rgb="FFFF0000"/>
        <rFont val="Calibri"/>
        <family val="2"/>
      </rPr>
      <t xml:space="preserve"> (CORRIGEE)</t>
    </r>
  </si>
  <si>
    <t>SHEHENAJ L.M. - Fo&amp;po 1 garniture cabine IMM.PACIFIQUE</t>
  </si>
  <si>
    <t>2026.01/SN/69</t>
  </si>
  <si>
    <t>2026.01/SN/70</t>
  </si>
  <si>
    <t>2026.01/SN/71</t>
  </si>
  <si>
    <t>2026.01/SN/72</t>
  </si>
  <si>
    <t>SHEHENAJ L.M. - Redevance PACIFIQUE 04/2026</t>
  </si>
  <si>
    <t>SHEHENAJ L.M. - Redevance COMMERCE (HARMONIE) 04/2026</t>
  </si>
  <si>
    <t>AMBASSADE BRITANNIQUE - Demontage&amp;pose 3 splits (AVOIR)</t>
  </si>
  <si>
    <t>IMMO PETIT PONT - Entretien general clim 4eTRIM.2025 (AVOIR)</t>
  </si>
  <si>
    <t>COTEX - Entretien clim 12/2025</t>
  </si>
  <si>
    <t>FACTURATION SN - AVRIL 2026</t>
  </si>
  <si>
    <t>RS HOLDING - Restitution retenue reception definitive</t>
  </si>
  <si>
    <t>2026.01/SN/73</t>
  </si>
  <si>
    <t>2026.01/SN/74</t>
  </si>
  <si>
    <t>2026.01/SN/75</t>
  </si>
  <si>
    <t>2026.01/SN/76</t>
  </si>
  <si>
    <t>LIBERTY - Redevance SUPER MARCHE LUSHI 04/2026</t>
  </si>
  <si>
    <t>DEV GROUP - Redevance mensuelle 04/2026</t>
  </si>
  <si>
    <t>A ONE CONSTRUCTION - Redevance PANORAMIQUE (ESTORIL) 04/2026</t>
  </si>
  <si>
    <t>IMMEUBLE LEGREY - Redevance mensuelle 04/2026</t>
  </si>
  <si>
    <t>2026.04/DA/140</t>
  </si>
  <si>
    <t>2026.04/DA/141</t>
  </si>
  <si>
    <t>136/1-218/2026</t>
  </si>
  <si>
    <t>136/1-219/2026</t>
  </si>
  <si>
    <t>IMMEUBLE SERKAS - Redevance 04/2026</t>
  </si>
  <si>
    <t>IMMEUBLE DELPHIN - Redevance mensuelle 04/2026</t>
  </si>
  <si>
    <t>AMBASSADE BRITANNIQUE - Demontage&amp;pose 3 splits (ANNULE)</t>
  </si>
  <si>
    <r>
      <t xml:space="preserve">SILIKIN VILLAGE - Entretien clim 12/2025 (ANNULEE </t>
    </r>
    <r>
      <rPr>
        <b/>
        <sz val="8"/>
        <color rgb="FFFF0000"/>
        <rFont val="Calibri"/>
        <family val="2"/>
      </rPr>
      <t>cfr COTEX 138/2026</t>
    </r>
    <r>
      <rPr>
        <b/>
        <sz val="11"/>
        <color rgb="FFFF0000"/>
        <rFont val="Calibri"/>
        <family val="2"/>
      </rPr>
      <t xml:space="preserve"> )</t>
    </r>
  </si>
  <si>
    <t>UTEXAFRICA - Facture 2025/DT/105-106</t>
  </si>
  <si>
    <t>TMB - Facture 136/1-194/2026 ???</t>
  </si>
  <si>
    <t>DA/96-96-105-113-115-116-122</t>
  </si>
  <si>
    <t>136/1-141-142/2026</t>
  </si>
  <si>
    <t>136/1-144-150/2026</t>
  </si>
  <si>
    <t>136/1-133-134/2026</t>
  </si>
  <si>
    <t>136/1-189-190/2026</t>
  </si>
  <si>
    <t>136/1-160-161/20326</t>
  </si>
  <si>
    <t>136/1-36-64/2026</t>
  </si>
  <si>
    <t>C.H.MONKOLE - Redevance 12/2025</t>
  </si>
  <si>
    <t>2026.03/DT/56</t>
  </si>
  <si>
    <r>
      <t>IMMO PETIT PONT -</t>
    </r>
    <r>
      <rPr>
        <b/>
        <sz val="8"/>
        <color rgb="FFFF0000"/>
        <rFont val="Calibri"/>
        <family val="2"/>
      </rPr>
      <t xml:space="preserve"> Entretien general clim 4eTRIM.2025</t>
    </r>
    <r>
      <rPr>
        <b/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</rPr>
      <t>(</t>
    </r>
    <r>
      <rPr>
        <b/>
        <sz val="11"/>
        <color rgb="FFFF0000"/>
        <rFont val="Calibri"/>
        <family val="2"/>
      </rPr>
      <t xml:space="preserve">ANNULEE </t>
    </r>
    <r>
      <rPr>
        <sz val="11"/>
        <color rgb="FFFF0000"/>
        <rFont val="Calibri"/>
        <family val="2"/>
      </rPr>
      <t>cfr 136/01-198)</t>
    </r>
  </si>
  <si>
    <t>136/1-220/2026</t>
  </si>
  <si>
    <t>136/1-221/2026</t>
  </si>
  <si>
    <t>136/1-222/2026</t>
  </si>
  <si>
    <t>136/1-223/2026</t>
  </si>
  <si>
    <t>136/1-224/2026</t>
  </si>
  <si>
    <t>VLISCO - Remplacement controleur de phase VRV</t>
  </si>
  <si>
    <t>2026.04/DT/76</t>
  </si>
  <si>
    <t>2026.04/DT/77</t>
  </si>
  <si>
    <t>2026.04/DT/78</t>
  </si>
  <si>
    <t>LFRD - Entretien general cli 1erTRIM.2026</t>
  </si>
  <si>
    <t>AGL - Entretien general clim 1erTRIM.2026</t>
  </si>
  <si>
    <t>AGL - Depannage clim 1erTRIM.2026</t>
  </si>
  <si>
    <t>2026.04/DA/142</t>
  </si>
  <si>
    <t>COMMUNAUTE HELLENIQUE - Redevance 04/2026</t>
  </si>
  <si>
    <t xml:space="preserve">TMB </t>
  </si>
  <si>
    <t xml:space="preserve">PRIMMO </t>
  </si>
  <si>
    <t xml:space="preserve">COMPAGNIE SUCRIERE </t>
  </si>
  <si>
    <t xml:space="preserve">TALGARTH HOLDING </t>
  </si>
  <si>
    <t xml:space="preserve">IAG </t>
  </si>
  <si>
    <t xml:space="preserve">UTEXAFRICA </t>
  </si>
  <si>
    <t xml:space="preserve">MIDEMA </t>
  </si>
  <si>
    <t xml:space="preserve">EJCSDJ </t>
  </si>
  <si>
    <t xml:space="preserve">COTEX </t>
  </si>
  <si>
    <t xml:space="preserve">RAWBANK </t>
  </si>
  <si>
    <t xml:space="preserve">BELTEXCO </t>
  </si>
  <si>
    <t xml:space="preserve">EBALE </t>
  </si>
  <si>
    <t xml:space="preserve">AGL </t>
  </si>
  <si>
    <t>RAWBANK - Acpte DG/UYN-041-03-2026</t>
  </si>
  <si>
    <t xml:space="preserve">WAGENIA </t>
  </si>
  <si>
    <t xml:space="preserve">IMMOKIN </t>
  </si>
  <si>
    <t xml:space="preserve">ECOLE FRANCAISE </t>
  </si>
  <si>
    <t xml:space="preserve">LPL </t>
  </si>
  <si>
    <t xml:space="preserve">EBCDC </t>
  </si>
  <si>
    <t>136/1-225/2026</t>
  </si>
  <si>
    <t>136/1-226/2026</t>
  </si>
  <si>
    <t>136/1-227/2026</t>
  </si>
  <si>
    <t>136/1-228/2026</t>
  </si>
  <si>
    <t>136/1-229/2026</t>
  </si>
  <si>
    <t>136/1-230/2026</t>
  </si>
  <si>
    <t>136/1-231/2026</t>
  </si>
  <si>
    <t>136/1-232/2026</t>
  </si>
  <si>
    <t>136/1-233/2026</t>
  </si>
  <si>
    <t>136/1-234/2026</t>
  </si>
  <si>
    <t>136/1-235/2026</t>
  </si>
  <si>
    <t>136/1-236/2026</t>
  </si>
  <si>
    <t>136/1-237/2026</t>
  </si>
  <si>
    <t>136/1-238/2026</t>
  </si>
  <si>
    <t>136/1-239/2026</t>
  </si>
  <si>
    <t>136/1-240/2026</t>
  </si>
  <si>
    <t>136/1-241/2026</t>
  </si>
  <si>
    <t>136/1-242/2026</t>
  </si>
  <si>
    <t>COMPAGNIE SUCRIERE - Fo&amp;po 2 splits GREE BRX DICKSON&amp; ACHATS</t>
  </si>
  <si>
    <t>2026.04/DT/80</t>
  </si>
  <si>
    <t>EXCELLERATE - Entretien general clim 1erTRIM.2026 CITIBANK</t>
  </si>
  <si>
    <t>2026.04/DT/81</t>
  </si>
  <si>
    <t>136/1-243/2026</t>
  </si>
  <si>
    <t>2026.04/DT/82</t>
  </si>
  <si>
    <t>EJCSDJ - Investigation &amp; travaux correctifs immédiats TEMPLE/KIN</t>
  </si>
  <si>
    <t>2026.04/DT/83</t>
  </si>
  <si>
    <t>CONNEXAFRICA - Entretien general clim 2eTRIM.2026</t>
  </si>
  <si>
    <t>COMPAGNIE SUCRIERE - Fo&amp;po 7 splits GREE / USINE</t>
  </si>
  <si>
    <t>2026.04/DT/84</t>
  </si>
  <si>
    <t>136/1-244/2026</t>
  </si>
  <si>
    <t>136/1-245/2026</t>
  </si>
  <si>
    <t>136/1-246/2026</t>
  </si>
  <si>
    <t>TMB - Redevance DG  04/20236</t>
  </si>
  <si>
    <t>2026.04/DA/143</t>
  </si>
  <si>
    <t>2026.04/DA/144</t>
  </si>
  <si>
    <t>2026.04/DA/145</t>
  </si>
  <si>
    <t>2026.04/DA/146</t>
  </si>
  <si>
    <t>2026.04/DA/147</t>
  </si>
  <si>
    <t>2026.04/DA/148</t>
  </si>
  <si>
    <t>2026.04/DA/149</t>
  </si>
  <si>
    <t>2026.04/DA/150</t>
  </si>
  <si>
    <t>2026.04/DA/151</t>
  </si>
  <si>
    <t>2026.04/DA/152</t>
  </si>
  <si>
    <t>2026.04/DA/153</t>
  </si>
  <si>
    <t>2026.04/DA/154</t>
  </si>
  <si>
    <t>2026.04/DA/155</t>
  </si>
  <si>
    <t>2026.04/DA/156</t>
  </si>
  <si>
    <t>TMB - Redevance VICTOIRE  04/20236</t>
  </si>
  <si>
    <t>SOGIC - Redevance BOULEVARD 04/2026</t>
  </si>
  <si>
    <t>SOGIC - Redevance ROI BAUDOUIN 04/2026</t>
  </si>
  <si>
    <t>AMBASSADE BRITANNIQUE - Redevance mensuelle 04/2026</t>
  </si>
  <si>
    <t>C.H. MONKOLE - Redevance ASC&amp;MONTE CHARGES 04/2026</t>
  </si>
  <si>
    <t>AMBASSADE DE Belgique - Redevance mensuelle 04/2026</t>
  </si>
  <si>
    <t>US EMBASSY - Redevance PANORAMA 04/2026</t>
  </si>
  <si>
    <t>AFRICANA PALACE - Redevance mensuelle 04/2026</t>
  </si>
  <si>
    <t>DEVIMCO - Redevance TRADITION 04/2026</t>
  </si>
  <si>
    <t>DEVIMCO - Redevance CONCORDE 04/2026</t>
  </si>
  <si>
    <t>MIDEMA - Redevance 04/2026</t>
  </si>
  <si>
    <t>MAJESTIC RIVER - Redevance 04/2026</t>
  </si>
  <si>
    <t>EBALE RESIDENCE - Redevance 04/2026</t>
  </si>
  <si>
    <t>2026,04/DA/157</t>
  </si>
  <si>
    <t>2026,04/DA/158</t>
  </si>
  <si>
    <t>IMMOTEX - Acpte ASC Otis Gen3 CORE+Onduleur Q/DES PARCS</t>
  </si>
  <si>
    <t>2026,04/DA/159</t>
  </si>
  <si>
    <t>TALGARTH HOLDING INC - Remplacement pces détachées BAMBOU 1</t>
  </si>
  <si>
    <t>2026,04/DA/160</t>
  </si>
  <si>
    <t>EBCDC - Redevance semestrielle + surveillance 05/2026</t>
  </si>
  <si>
    <t>2026.01/SN/77</t>
  </si>
  <si>
    <t>2026.01/SN/78</t>
  </si>
  <si>
    <t>2026.01/SN/79</t>
  </si>
  <si>
    <t>2026.01/SN/80</t>
  </si>
  <si>
    <t>2026.01/SN/81</t>
  </si>
  <si>
    <t>2026.01/SN/82</t>
  </si>
  <si>
    <t>LYS SARL - Entretien general clim LYS CENTER 1erTRIM.2026</t>
  </si>
  <si>
    <t>LYS SARL - Redevance LYS TOWER 03/2026</t>
  </si>
  <si>
    <t>LYS SARL - Redevance LYS TOWER 04/2026</t>
  </si>
  <si>
    <t>LYS SARL - Redevance LYS CENTER 03/2026</t>
  </si>
  <si>
    <t>LYS SARL - Redevance LYS CENTER 04/2026</t>
  </si>
  <si>
    <t>IMMEUBLE MALAIKA - Redevance trimestrielle 1erTRIM.2026</t>
  </si>
  <si>
    <t>2026.01/SN/83</t>
  </si>
  <si>
    <t>2026.01/SN/84</t>
  </si>
  <si>
    <t>2026.01/SN/85</t>
  </si>
  <si>
    <t>2026.01/SN/86</t>
  </si>
  <si>
    <t>2026.01/SN/87</t>
  </si>
  <si>
    <t>IMMEUBLE TATELIE - Redevance mensuelle 04/2026</t>
  </si>
  <si>
    <t>ESPACE SHADARY - Redevance NYEMBO 04/2026</t>
  </si>
  <si>
    <t>IMMEUBLE IMANI - Redevance mensuelle 04/2026</t>
  </si>
  <si>
    <t>IMMEUBLE MARIE YVETTE - Redevance mensuelle 04/2026</t>
  </si>
  <si>
    <t>2026.01/SN/88</t>
  </si>
  <si>
    <t>2026.01/SN/89</t>
  </si>
  <si>
    <t>COMIMMO 1 - Entretien general clim 1erTRIM.2026</t>
  </si>
  <si>
    <t>RESIDENCE KAWELE - Redevance 04/2026</t>
  </si>
  <si>
    <t>ESPACE SHADARY - Redevance CITE VERTE 04/2026</t>
  </si>
  <si>
    <t>2026.04/DT/79</t>
  </si>
  <si>
    <t>2026.01/SN/90</t>
  </si>
  <si>
    <t>2026.01/SN/91</t>
  </si>
  <si>
    <t>2026.01/SN/92</t>
  </si>
  <si>
    <t>2026.01/SN/93</t>
  </si>
  <si>
    <t>2026.01/SN/94</t>
  </si>
  <si>
    <t>2026.01/SN/95</t>
  </si>
  <si>
    <t>2026.01/SN/96</t>
  </si>
  <si>
    <t>RESIDENCE EMERAUDE - Entretien general 27 splits 2eTOUR2026</t>
  </si>
  <si>
    <t>A ONE CONSTRUCTION - Redevance PANORAMIQUE (ESTORIL) 05/2026</t>
  </si>
  <si>
    <t>SHEHENAJ L.M. - Redevance PACIFIQUE 05/2026</t>
  </si>
  <si>
    <t>SHEHENAJ L.M. - Redevance COMMERCE (HARMONIE) 05/2026</t>
  </si>
  <si>
    <t>136/1-247/2026</t>
  </si>
  <si>
    <t>136/1-248/2026</t>
  </si>
  <si>
    <t>136/1-249/2026</t>
  </si>
  <si>
    <t>136/1-250/2026</t>
  </si>
  <si>
    <t>136/1-251/2026</t>
  </si>
  <si>
    <t>136/1-252/2026</t>
  </si>
  <si>
    <t>136/1-253/2026</t>
  </si>
  <si>
    <t>136/1-254/2026</t>
  </si>
  <si>
    <t>136/1-256/2026</t>
  </si>
  <si>
    <t>136/1-257/2026</t>
  </si>
  <si>
    <t>136/1-258/2026</t>
  </si>
  <si>
    <t>136/1-259/2026</t>
  </si>
  <si>
    <t>136/1-260/2026</t>
  </si>
  <si>
    <t>136/1-261/2026</t>
  </si>
  <si>
    <t>136/1-262/2026</t>
  </si>
  <si>
    <t>136/1-263/2026</t>
  </si>
  <si>
    <t>136/1-264/2026</t>
  </si>
  <si>
    <t>136/1-265/2026</t>
  </si>
  <si>
    <t>136/1-266/2026</t>
  </si>
  <si>
    <t>136/1-267/2026</t>
  </si>
  <si>
    <t>136/1-268/2026</t>
  </si>
  <si>
    <t>136/1-269/2026</t>
  </si>
  <si>
    <t>136/1-270/2026</t>
  </si>
  <si>
    <t>136/1-271/2026</t>
  </si>
  <si>
    <t>136/1-272/2026</t>
  </si>
  <si>
    <t>136/1-273/2026</t>
  </si>
  <si>
    <t>TMB - Redevance DG  05/20236</t>
  </si>
  <si>
    <t>TMB - Redevance VICTOIRE  05/20236</t>
  </si>
  <si>
    <t>2026,04/DA/161</t>
  </si>
  <si>
    <t>2026,04/DA/162</t>
  </si>
  <si>
    <t>2026,04/DA/163</t>
  </si>
  <si>
    <t>2026,04/DA/164</t>
  </si>
  <si>
    <t>DEVIMCO - Redevance AMBASSADEUR 05/2026</t>
  </si>
  <si>
    <t>DEVIMCO - Redevance PRESTIGE 05/2026</t>
  </si>
  <si>
    <t>2026,04/DA/165</t>
  </si>
  <si>
    <t>2026,04/DA/166</t>
  </si>
  <si>
    <t>2026,04/DA/167</t>
  </si>
  <si>
    <t>2026,04/DA/168</t>
  </si>
  <si>
    <t>BELTEXCO 2 - Redevance mensuelle 05/2026</t>
  </si>
  <si>
    <t>BELTEXCO 1 - Redevance mensuelle 05/2026</t>
  </si>
  <si>
    <t>IAG - Redevance CONCESSION 05/2026</t>
  </si>
  <si>
    <t>136/1-255/2026</t>
  </si>
  <si>
    <t>2026,04/DA/169</t>
  </si>
  <si>
    <t>2026,04/DA/170</t>
  </si>
  <si>
    <t>2026,04/DA/171</t>
  </si>
  <si>
    <t>2026,04/DA/172</t>
  </si>
  <si>
    <t>2026,04/DA/173</t>
  </si>
  <si>
    <t>LFRD - Redevance mensuelle 05/2026</t>
  </si>
  <si>
    <t>IMMEUBLE WAGENIA - Redevance mensuelle 05/2026</t>
  </si>
  <si>
    <t>UTEXAFRICA/BOIS NOBLES - Redevance mensuelle 05/2026</t>
  </si>
  <si>
    <t>MAJESTIC RIVER - Fo&amp;po 2 led cabine</t>
  </si>
  <si>
    <t>SOGIC - Redevance BOILEVARD 05/2026</t>
  </si>
  <si>
    <t>TALGARTH HOLDING INC - Fo&amp;po 2 remotes RS 14 BAMBOU</t>
  </si>
  <si>
    <t>IMMOKIN - Divers interventions TILAPIA</t>
  </si>
  <si>
    <t>2026,04/DA/174</t>
  </si>
  <si>
    <t>2026,04/DA/175</t>
  </si>
  <si>
    <t>2026,04/DA/176</t>
  </si>
  <si>
    <t>2026,04/DA/177</t>
  </si>
  <si>
    <t>MAJESTIC RIVER - Redevance 05/2026</t>
  </si>
  <si>
    <t>DEVIMCO - Redevance TRADITION 05/2026</t>
  </si>
  <si>
    <t>DEVIMCO - Redevance CONCORDE 05/2026</t>
  </si>
  <si>
    <t>2026,04/DA/178</t>
  </si>
  <si>
    <t>2026,04/DA/179</t>
  </si>
  <si>
    <t>2026,04/DA/180</t>
  </si>
  <si>
    <t>2026,04/DA/181</t>
  </si>
  <si>
    <t>LA GRACE DE DIEU/Immeuble DELPHIN - Redevance 05/2026</t>
  </si>
  <si>
    <t>AMBASSADE DE Belgique - Redevance mensuelle 05/2026</t>
  </si>
  <si>
    <t>AMBASSADE BRITANNIQUE - Redevance mensuelle 05/2026</t>
  </si>
  <si>
    <t>EBALE RESIDENCE - Redevance 05/2026</t>
  </si>
  <si>
    <t>PRIMMO SARL - Avancement travaux n°3 CLIM</t>
  </si>
  <si>
    <t>2026.04/DT/86</t>
  </si>
  <si>
    <t>IMMO PETIT PONT - Entretien clim 2eTRIM.2026</t>
  </si>
  <si>
    <t>2026.04/DT/85</t>
  </si>
  <si>
    <t>136/1-274/2026</t>
  </si>
  <si>
    <t>136/1-275/2026</t>
  </si>
  <si>
    <t>136/1-276/2026</t>
  </si>
  <si>
    <t>136/1-277/2026</t>
  </si>
  <si>
    <t>136/1-278/2026</t>
  </si>
  <si>
    <t>136/1-279/2026</t>
  </si>
  <si>
    <t>136/1-280/2026</t>
  </si>
  <si>
    <t>136/1-281/2026</t>
  </si>
  <si>
    <t>136/1-282/2026</t>
  </si>
  <si>
    <t>2026.04/DT/87</t>
  </si>
  <si>
    <t>LPL - Depannage divers clim LYCEE</t>
  </si>
  <si>
    <t>2026.04/DT/89</t>
  </si>
  <si>
    <t xml:space="preserve">LPL - Entretien general clim 2eQUADRIMESTRE 2026 </t>
  </si>
  <si>
    <t>2026.04/DT/90</t>
  </si>
  <si>
    <t>DEV GROUP - Redevance mensuelle 05/2026</t>
  </si>
  <si>
    <t>LIBERTY - Redevance SUPER MARCHE LUSHI 05/2026</t>
  </si>
  <si>
    <t xml:space="preserve">COMIMMO 4 - Fo 12m cable 50mm² </t>
  </si>
  <si>
    <t>136/1-195&amp;203/2026</t>
  </si>
  <si>
    <t xml:space="preserve">AMBASSADE DE Belgique </t>
  </si>
  <si>
    <t>C.H. MONKOLE - Redevance ASC&amp;MONTE CHARGES 05/2026</t>
  </si>
  <si>
    <t>BANQUE MONDIALE - Redevance mensuelle  05/2026</t>
  </si>
  <si>
    <t>2026,04/DA/182</t>
  </si>
  <si>
    <t>2026,04/DA/183</t>
  </si>
  <si>
    <t>US EMBASSY - Redevance PANORAMA 05/2026</t>
  </si>
  <si>
    <t>2026,04/DA/184</t>
  </si>
  <si>
    <t>IMMEUBLE SERKAS - Redevance 05/2026</t>
  </si>
  <si>
    <t>2026,04/DA/185</t>
  </si>
  <si>
    <t>2026,04/DA/186</t>
  </si>
  <si>
    <t>COMMUNAUTE HELLENIQUE - Redevance 05/2026</t>
  </si>
  <si>
    <t>SOGIC - Redevance ROI BAUDOUIN 05/2026</t>
  </si>
  <si>
    <t>2026,04/DA/187</t>
  </si>
  <si>
    <t>MONUSCO - Redevance 2e TRIM.2026</t>
  </si>
  <si>
    <t>UNICEF - Maintenance HUB/KINKOLE 02/2026</t>
  </si>
  <si>
    <t>2026.04/DT/72</t>
  </si>
  <si>
    <t>2026.04/DT/74</t>
  </si>
  <si>
    <t>2026.04/DT/75</t>
  </si>
  <si>
    <t>2026,04/DA/149</t>
  </si>
  <si>
    <t>136/1-213-214/2026</t>
  </si>
  <si>
    <t>136/1-215-216/2026</t>
  </si>
  <si>
    <t>136/1-194-198/2026</t>
  </si>
  <si>
    <t>136/1-119-120/2026</t>
  </si>
  <si>
    <t>136/1-125-186-238/2026</t>
  </si>
  <si>
    <t>136/1-234-235-250-251/2026</t>
  </si>
  <si>
    <t xml:space="preserve">IMMO PETIT PONT </t>
  </si>
  <si>
    <t>EXCELLERATE PROPERTY</t>
  </si>
  <si>
    <t xml:space="preserve">IMMOTEX </t>
  </si>
  <si>
    <t>EBALE RESIDENCE</t>
  </si>
  <si>
    <t>TMB - Facture 136/1-207/2026</t>
  </si>
  <si>
    <t>TMB - Facture 136/1-226/2026</t>
  </si>
  <si>
    <t>TMB - Facture 136/1-225/2026</t>
  </si>
  <si>
    <t>SERKAS</t>
  </si>
  <si>
    <t>IMMEUBLE DELPHIN</t>
  </si>
  <si>
    <t>VLISCO</t>
  </si>
  <si>
    <t>IMMEUBLE EBATA - Depannage groupe electrogene</t>
  </si>
  <si>
    <t>2026.01/SN/97</t>
  </si>
  <si>
    <t>2026.01/SN/98</t>
  </si>
  <si>
    <t>2026.01/SN/99</t>
  </si>
  <si>
    <t>2026.01/SN/100</t>
  </si>
  <si>
    <t>2026.01/SN/101</t>
  </si>
  <si>
    <t>2026.01/SN/102</t>
  </si>
  <si>
    <t>2026.01/SN/103</t>
  </si>
  <si>
    <t>2026.01/SN/104</t>
  </si>
  <si>
    <t>2026.01/SN/105</t>
  </si>
  <si>
    <t>ESPACE SHADARY - Redevance NYEMBO 05/2026</t>
  </si>
  <si>
    <t>IMMEUBLE IMANI - Redevance mensuelle 05/2026</t>
  </si>
  <si>
    <t>IMMEUBLE MARIE YVETTE - Redevance mensuelle 05/2026</t>
  </si>
  <si>
    <t>SHEHENAJ L.M. - Redevance PACIFIQUE 06/2026</t>
  </si>
  <si>
    <t>2026.01/SN/106</t>
  </si>
  <si>
    <t>COMIMMO - Fo&amp;raccordement inverseur groupe 800kva cfr TRADEXPORT</t>
  </si>
  <si>
    <t>IMMEUBLE LEGREY - Redevance 05/2026</t>
  </si>
  <si>
    <t>LYS SARL - Redevance LYS TOWER 05/2026</t>
  </si>
  <si>
    <t>RESIDENCE KAWELE - Redevance 05/2026</t>
  </si>
  <si>
    <t>ESPACE SHADARY - Redevance CITE VERTE 05/2026</t>
  </si>
  <si>
    <t>SUIVI FACTURES NORMALISEES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</si>
</sst>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\ _€_-;\-* #,##0.00\ _€_-;_-* &quot;-&quot;??\ _€_-;_-@_-"/>
    <numFmt numFmtId="165" formatCode="_-[$$-409]* #,##0.00_ ;_-[$$-409]* \-#,##0.00\ ;_-[$$-409]* &quot;-&quot;??_ ;_-@_ "/>
    <numFmt numFmtId="166" formatCode="#,##0.00_ ;\-#,##0.00\ "/>
    <numFmt numFmtId="167" formatCode="_([$$-409]* #,##0.00_);_([$$-409]* \(#,##0.00\);_([$$-409]* &quot;-&quot;??_);_(@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9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Times New Roman"/>
      <family val="1"/>
    </font>
    <font>
      <b/>
      <sz val="8"/>
      <color rgb="FFFF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</font>
    <font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sz val="12"/>
      <name val="Calibri"/>
      <family val="2"/>
      <scheme val="minor"/>
    </font>
    <font>
      <sz val="11"/>
      <color rgb="FFFF0000"/>
      <name val="Calibri"/>
      <family val="2"/>
    </font>
    <font>
      <sz val="16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6" borderId="0" applyNumberFormat="0" applyBorder="0" applyAlignment="0" applyProtection="0"/>
  </cellStyleXfs>
  <cellXfs count="586">
    <xf numFmtId="0" fontId="0" fillId="0" borderId="0" xfId="0"/>
    <xf numFmtId="0" fontId="0" fillId="0" borderId="12" xfId="0" applyBorder="1"/>
    <xf numFmtId="0" fontId="0" fillId="0" borderId="0" xfId="0"/>
    <xf numFmtId="0" fontId="0" fillId="5" borderId="9" xfId="0" applyFill="1" applyBorder="1"/>
    <xf numFmtId="0" fontId="0" fillId="0" borderId="10" xfId="0" applyBorder="1"/>
    <xf numFmtId="164" fontId="3" fillId="5" borderId="9" xfId="0" applyNumberFormat="1" applyFont="1" applyFill="1" applyBorder="1"/>
    <xf numFmtId="0" fontId="8" fillId="0" borderId="0" xfId="0" applyFont="1"/>
    <xf numFmtId="0" fontId="3" fillId="3" borderId="14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0" fillId="0" borderId="0" xfId="0"/>
    <xf numFmtId="0" fontId="0" fillId="0" borderId="1" xfId="0" applyBorder="1"/>
    <xf numFmtId="0" fontId="0" fillId="2" borderId="1" xfId="0" applyFill="1" applyBorder="1"/>
    <xf numFmtId="0" fontId="16" fillId="2" borderId="1" xfId="0" applyFont="1" applyFill="1" applyBorder="1"/>
    <xf numFmtId="164" fontId="6" fillId="4" borderId="21" xfId="0" applyNumberFormat="1" applyFont="1" applyFill="1" applyBorder="1" applyAlignment="1">
      <alignment horizontal="center"/>
    </xf>
    <xf numFmtId="164" fontId="6" fillId="4" borderId="23" xfId="0" applyNumberFormat="1" applyFont="1" applyFill="1" applyBorder="1" applyAlignment="1">
      <alignment horizontal="center"/>
    </xf>
    <xf numFmtId="164" fontId="6" fillId="4" borderId="24" xfId="0" applyNumberFormat="1" applyFont="1" applyFill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26" xfId="0" applyBorder="1"/>
    <xf numFmtId="0" fontId="0" fillId="0" borderId="25" xfId="0" applyBorder="1"/>
    <xf numFmtId="0" fontId="0" fillId="0" borderId="17" xfId="0" applyBorder="1"/>
    <xf numFmtId="0" fontId="0" fillId="0" borderId="22" xfId="0" applyBorder="1"/>
    <xf numFmtId="0" fontId="0" fillId="5" borderId="20" xfId="0" applyFill="1" applyBorder="1"/>
    <xf numFmtId="0" fontId="0" fillId="5" borderId="27" xfId="0" applyFill="1" applyBorder="1"/>
    <xf numFmtId="164" fontId="0" fillId="5" borderId="20" xfId="0" applyNumberFormat="1" applyFill="1" applyBorder="1"/>
    <xf numFmtId="164" fontId="0" fillId="5" borderId="27" xfId="0" applyNumberFormat="1" applyFill="1" applyBorder="1"/>
    <xf numFmtId="164" fontId="0" fillId="5" borderId="23" xfId="0" applyNumberFormat="1" applyFill="1" applyBorder="1"/>
    <xf numFmtId="0" fontId="0" fillId="5" borderId="23" xfId="0" applyFill="1" applyBorder="1"/>
    <xf numFmtId="0" fontId="0" fillId="0" borderId="15" xfId="0" applyBorder="1"/>
    <xf numFmtId="0" fontId="9" fillId="5" borderId="28" xfId="0" applyFont="1" applyFill="1" applyBorder="1"/>
    <xf numFmtId="166" fontId="18" fillId="4" borderId="29" xfId="0" applyNumberFormat="1" applyFont="1" applyFill="1" applyBorder="1" applyAlignment="1">
      <alignment horizontal="center"/>
    </xf>
    <xf numFmtId="166" fontId="18" fillId="4" borderId="30" xfId="0" applyNumberFormat="1" applyFont="1" applyFill="1" applyBorder="1" applyAlignment="1">
      <alignment horizontal="center"/>
    </xf>
    <xf numFmtId="166" fontId="18" fillId="4" borderId="31" xfId="0" applyNumberFormat="1" applyFont="1" applyFill="1" applyBorder="1" applyAlignment="1">
      <alignment horizontal="center"/>
    </xf>
    <xf numFmtId="164" fontId="6" fillId="4" borderId="32" xfId="0" applyNumberFormat="1" applyFont="1" applyFill="1" applyBorder="1" applyAlignment="1">
      <alignment horizontal="center"/>
    </xf>
    <xf numFmtId="166" fontId="0" fillId="0" borderId="4" xfId="0" applyNumberFormat="1" applyBorder="1"/>
    <xf numFmtId="166" fontId="0" fillId="0" borderId="2" xfId="0" applyNumberFormat="1" applyBorder="1"/>
    <xf numFmtId="166" fontId="3" fillId="4" borderId="18" xfId="0" applyNumberFormat="1" applyFont="1" applyFill="1" applyBorder="1"/>
    <xf numFmtId="166" fontId="0" fillId="0" borderId="13" xfId="0" applyNumberFormat="1" applyBorder="1"/>
    <xf numFmtId="4" fontId="0" fillId="4" borderId="24" xfId="0" applyNumberFormat="1" applyFill="1" applyBorder="1"/>
    <xf numFmtId="4" fontId="0" fillId="0" borderId="0" xfId="0" applyNumberFormat="1"/>
    <xf numFmtId="4" fontId="3" fillId="4" borderId="18" xfId="0" applyNumberFormat="1" applyFont="1" applyFill="1" applyBorder="1"/>
    <xf numFmtId="4" fontId="3" fillId="3" borderId="15" xfId="0" applyNumberFormat="1" applyFont="1" applyFill="1" applyBorder="1"/>
    <xf numFmtId="166" fontId="0" fillId="4" borderId="8" xfId="0" applyNumberFormat="1" applyFont="1" applyFill="1" applyBorder="1"/>
    <xf numFmtId="0" fontId="3" fillId="0" borderId="0" xfId="0" applyFont="1" applyAlignment="1">
      <alignment horizontal="right"/>
    </xf>
    <xf numFmtId="0" fontId="19" fillId="0" borderId="0" xfId="0" applyFont="1"/>
    <xf numFmtId="14" fontId="17" fillId="0" borderId="0" xfId="0" applyNumberFormat="1" applyFont="1"/>
    <xf numFmtId="0" fontId="15" fillId="6" borderId="1" xfId="2" applyFont="1" applyBorder="1"/>
    <xf numFmtId="4" fontId="15" fillId="6" borderId="1" xfId="2" applyNumberFormat="1" applyFont="1" applyBorder="1"/>
    <xf numFmtId="4" fontId="0" fillId="0" borderId="1" xfId="0" applyNumberFormat="1" applyBorder="1"/>
    <xf numFmtId="0" fontId="0" fillId="0" borderId="1" xfId="0" applyFill="1" applyBorder="1"/>
    <xf numFmtId="0" fontId="22" fillId="0" borderId="1" xfId="0" applyFont="1" applyBorder="1" applyAlignment="1">
      <alignment horizontal="center"/>
    </xf>
    <xf numFmtId="0" fontId="16" fillId="0" borderId="1" xfId="0" applyFont="1" applyBorder="1"/>
    <xf numFmtId="14" fontId="23" fillId="0" borderId="1" xfId="0" applyNumberFormat="1" applyFont="1" applyBorder="1"/>
    <xf numFmtId="0" fontId="23" fillId="0" borderId="1" xfId="0" applyFont="1" applyBorder="1"/>
    <xf numFmtId="0" fontId="24" fillId="0" borderId="1" xfId="0" applyFont="1" applyBorder="1"/>
    <xf numFmtId="0" fontId="23" fillId="2" borderId="1" xfId="0" applyFont="1" applyFill="1" applyBorder="1"/>
    <xf numFmtId="17" fontId="24" fillId="0" borderId="1" xfId="0" applyNumberFormat="1" applyFont="1" applyBorder="1" applyAlignment="1">
      <alignment horizontal="center"/>
    </xf>
    <xf numFmtId="16" fontId="23" fillId="0" borderId="1" xfId="0" applyNumberFormat="1" applyFont="1" applyBorder="1" applyAlignment="1">
      <alignment horizontal="center"/>
    </xf>
    <xf numFmtId="16" fontId="22" fillId="0" borderId="1" xfId="0" applyNumberFormat="1" applyFont="1" applyBorder="1" applyAlignment="1">
      <alignment horizontal="center"/>
    </xf>
    <xf numFmtId="14" fontId="24" fillId="0" borderId="1" xfId="0" applyNumberFormat="1" applyFont="1" applyBorder="1"/>
    <xf numFmtId="0" fontId="0" fillId="0" borderId="1" xfId="0" applyBorder="1" applyAlignment="1">
      <alignment horizontal="center"/>
    </xf>
    <xf numFmtId="0" fontId="0" fillId="9" borderId="0" xfId="0" applyFill="1"/>
    <xf numFmtId="0" fontId="2" fillId="6" borderId="1" xfId="2" applyFont="1" applyBorder="1"/>
    <xf numFmtId="4" fontId="2" fillId="6" borderId="1" xfId="2" applyNumberFormat="1" applyFont="1" applyBorder="1"/>
    <xf numFmtId="0" fontId="0" fillId="0" borderId="0" xfId="0" applyBorder="1"/>
    <xf numFmtId="0" fontId="0" fillId="0" borderId="1" xfId="0" applyFill="1" applyBorder="1" applyAlignment="1">
      <alignment horizontal="center"/>
    </xf>
    <xf numFmtId="0" fontId="15" fillId="0" borderId="0" xfId="0" applyFont="1" applyBorder="1"/>
    <xf numFmtId="4" fontId="25" fillId="0" borderId="0" xfId="0" applyNumberFormat="1" applyFont="1" applyBorder="1"/>
    <xf numFmtId="0" fontId="25" fillId="0" borderId="0" xfId="0" applyFont="1" applyBorder="1"/>
    <xf numFmtId="17" fontId="26" fillId="6" borderId="1" xfId="2" applyNumberFormat="1" applyFont="1" applyBorder="1" applyAlignment="1">
      <alignment horizontal="center"/>
    </xf>
    <xf numFmtId="14" fontId="24" fillId="2" borderId="1" xfId="0" applyNumberFormat="1" applyFont="1" applyFill="1" applyBorder="1"/>
    <xf numFmtId="0" fontId="27" fillId="0" borderId="0" xfId="0" applyFont="1" applyAlignment="1">
      <alignment horizontal="left"/>
    </xf>
    <xf numFmtId="14" fontId="24" fillId="2" borderId="3" xfId="0" applyNumberFormat="1" applyFont="1" applyFill="1" applyBorder="1"/>
    <xf numFmtId="14" fontId="23" fillId="0" borderId="3" xfId="0" applyNumberFormat="1" applyFont="1" applyBorder="1"/>
    <xf numFmtId="0" fontId="15" fillId="6" borderId="3" xfId="2" applyFont="1" applyBorder="1"/>
    <xf numFmtId="0" fontId="23" fillId="0" borderId="3" xfId="0" applyFont="1" applyBorder="1"/>
    <xf numFmtId="14" fontId="24" fillId="0" borderId="3" xfId="0" applyNumberFormat="1" applyFont="1" applyBorder="1"/>
    <xf numFmtId="0" fontId="24" fillId="0" borderId="3" xfId="0" applyFont="1" applyBorder="1"/>
    <xf numFmtId="0" fontId="23" fillId="2" borderId="3" xfId="0" applyFont="1" applyFill="1" applyBorder="1"/>
    <xf numFmtId="14" fontId="21" fillId="2" borderId="1" xfId="0" applyNumberFormat="1" applyFont="1" applyFill="1" applyBorder="1"/>
    <xf numFmtId="14" fontId="24" fillId="11" borderId="1" xfId="0" applyNumberFormat="1" applyFont="1" applyFill="1" applyBorder="1"/>
    <xf numFmtId="165" fontId="12" fillId="8" borderId="18" xfId="0" applyNumberFormat="1" applyFont="1" applyFill="1" applyBorder="1" applyAlignment="1">
      <alignment horizontal="center"/>
    </xf>
    <xf numFmtId="165" fontId="12" fillId="10" borderId="18" xfId="0" applyNumberFormat="1" applyFont="1" applyFill="1" applyBorder="1" applyAlignment="1">
      <alignment horizontal="center"/>
    </xf>
    <xf numFmtId="164" fontId="0" fillId="2" borderId="9" xfId="0" applyNumberFormat="1" applyFill="1" applyBorder="1"/>
    <xf numFmtId="0" fontId="6" fillId="2" borderId="10" xfId="0" applyFont="1" applyFill="1" applyBorder="1" applyAlignment="1">
      <alignment horizontal="center"/>
    </xf>
    <xf numFmtId="0" fontId="0" fillId="0" borderId="16" xfId="0" applyBorder="1"/>
    <xf numFmtId="0" fontId="0" fillId="0" borderId="18" xfId="0" applyBorder="1"/>
    <xf numFmtId="166" fontId="0" fillId="4" borderId="35" xfId="0" applyNumberFormat="1" applyFont="1" applyFill="1" applyBorder="1"/>
    <xf numFmtId="166" fontId="0" fillId="0" borderId="25" xfId="0" applyNumberFormat="1" applyBorder="1"/>
    <xf numFmtId="166" fontId="0" fillId="0" borderId="17" xfId="0" applyNumberFormat="1" applyBorder="1"/>
    <xf numFmtId="166" fontId="0" fillId="0" borderId="22" xfId="0" applyNumberFormat="1" applyBorder="1"/>
    <xf numFmtId="166" fontId="0" fillId="4" borderId="18" xfId="0" applyNumberFormat="1" applyFont="1" applyFill="1" applyBorder="1"/>
    <xf numFmtId="164" fontId="7" fillId="4" borderId="15" xfId="0" applyNumberFormat="1" applyFont="1" applyFill="1" applyBorder="1" applyAlignment="1">
      <alignment horizontal="center"/>
    </xf>
    <xf numFmtId="164" fontId="6" fillId="4" borderId="37" xfId="0" applyNumberFormat="1" applyFont="1" applyFill="1" applyBorder="1" applyAlignment="1">
      <alignment horizontal="center"/>
    </xf>
    <xf numFmtId="164" fontId="6" fillId="4" borderId="36" xfId="0" applyNumberFormat="1" applyFont="1" applyFill="1" applyBorder="1" applyAlignment="1">
      <alignment horizontal="center"/>
    </xf>
    <xf numFmtId="166" fontId="0" fillId="4" borderId="24" xfId="0" applyNumberFormat="1" applyFill="1" applyBorder="1"/>
    <xf numFmtId="166" fontId="0" fillId="4" borderId="38" xfId="0" applyNumberFormat="1" applyFill="1" applyBorder="1"/>
    <xf numFmtId="166" fontId="0" fillId="4" borderId="32" xfId="0" applyNumberFormat="1" applyFill="1" applyBorder="1"/>
    <xf numFmtId="166" fontId="14" fillId="0" borderId="25" xfId="0" applyNumberFormat="1" applyFont="1" applyBorder="1"/>
    <xf numFmtId="166" fontId="14" fillId="0" borderId="17" xfId="0" applyNumberFormat="1" applyFont="1" applyBorder="1"/>
    <xf numFmtId="0" fontId="9" fillId="5" borderId="23" xfId="0" applyFont="1" applyFill="1" applyBorder="1"/>
    <xf numFmtId="0" fontId="0" fillId="2" borderId="9" xfId="0" applyFill="1" applyBorder="1"/>
    <xf numFmtId="0" fontId="6" fillId="4" borderId="15" xfId="0" applyFont="1" applyFill="1" applyBorder="1" applyAlignment="1">
      <alignment horizontal="center"/>
    </xf>
    <xf numFmtId="165" fontId="6" fillId="5" borderId="36" xfId="0" applyNumberFormat="1" applyFont="1" applyFill="1" applyBorder="1" applyAlignment="1">
      <alignment horizontal="center"/>
    </xf>
    <xf numFmtId="164" fontId="6" fillId="4" borderId="29" xfId="0" applyNumberFormat="1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0" fillId="12" borderId="26" xfId="0" applyFill="1" applyBorder="1"/>
    <xf numFmtId="164" fontId="3" fillId="4" borderId="9" xfId="0" applyNumberFormat="1" applyFont="1" applyFill="1" applyBorder="1"/>
    <xf numFmtId="0" fontId="25" fillId="0" borderId="27" xfId="0" applyFont="1" applyBorder="1"/>
    <xf numFmtId="4" fontId="25" fillId="0" borderId="27" xfId="0" applyNumberFormat="1" applyFont="1" applyBorder="1"/>
    <xf numFmtId="0" fontId="0" fillId="0" borderId="27" xfId="0" applyBorder="1"/>
    <xf numFmtId="165" fontId="10" fillId="2" borderId="3" xfId="0" applyNumberFormat="1" applyFont="1" applyFill="1" applyBorder="1" applyAlignment="1">
      <alignment horizontal="right"/>
    </xf>
    <xf numFmtId="165" fontId="22" fillId="13" borderId="4" xfId="0" applyNumberFormat="1" applyFont="1" applyFill="1" applyBorder="1"/>
    <xf numFmtId="165" fontId="22" fillId="14" borderId="13" xfId="0" applyNumberFormat="1" applyFont="1" applyFill="1" applyBorder="1"/>
    <xf numFmtId="165" fontId="22" fillId="13" borderId="6" xfId="0" applyNumberFormat="1" applyFont="1" applyFill="1" applyBorder="1"/>
    <xf numFmtId="165" fontId="22" fillId="14" borderId="5" xfId="0" applyNumberFormat="1" applyFont="1" applyFill="1" applyBorder="1"/>
    <xf numFmtId="165" fontId="15" fillId="6" borderId="6" xfId="2" applyNumberFormat="1" applyFont="1" applyBorder="1"/>
    <xf numFmtId="165" fontId="15" fillId="6" borderId="5" xfId="2" applyNumberFormat="1" applyFont="1" applyBorder="1"/>
    <xf numFmtId="165" fontId="22" fillId="2" borderId="6" xfId="0" applyNumberFormat="1" applyFont="1" applyFill="1" applyBorder="1"/>
    <xf numFmtId="165" fontId="22" fillId="2" borderId="5" xfId="0" applyNumberFormat="1" applyFont="1" applyFill="1" applyBorder="1"/>
    <xf numFmtId="165" fontId="24" fillId="2" borderId="6" xfId="0" applyNumberFormat="1" applyFont="1" applyFill="1" applyBorder="1"/>
    <xf numFmtId="165" fontId="24" fillId="2" borderId="5" xfId="0" applyNumberFormat="1" applyFont="1" applyFill="1" applyBorder="1"/>
    <xf numFmtId="165" fontId="4" fillId="0" borderId="7" xfId="0" applyNumberFormat="1" applyFont="1" applyBorder="1"/>
    <xf numFmtId="165" fontId="4" fillId="0" borderId="39" xfId="0" applyNumberFormat="1" applyFont="1" applyBorder="1"/>
    <xf numFmtId="165" fontId="4" fillId="0" borderId="8" xfId="0" applyNumberFormat="1" applyFont="1" applyBorder="1"/>
    <xf numFmtId="0" fontId="4" fillId="2" borderId="9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2" fillId="4" borderId="11" xfId="0" applyFont="1" applyFill="1" applyBorder="1" applyAlignment="1">
      <alignment horizontal="center"/>
    </xf>
    <xf numFmtId="0" fontId="0" fillId="0" borderId="3" xfId="0" applyBorder="1"/>
    <xf numFmtId="0" fontId="0" fillId="0" borderId="42" xfId="0" applyBorder="1"/>
    <xf numFmtId="165" fontId="3" fillId="0" borderId="9" xfId="0" applyNumberFormat="1" applyFont="1" applyBorder="1"/>
    <xf numFmtId="165" fontId="15" fillId="6" borderId="17" xfId="2" applyNumberFormat="1" applyFont="1" applyBorder="1"/>
    <xf numFmtId="0" fontId="3" fillId="0" borderId="10" xfId="0" applyFont="1" applyBorder="1"/>
    <xf numFmtId="165" fontId="15" fillId="6" borderId="20" xfId="2" applyNumberFormat="1" applyFont="1" applyBorder="1"/>
    <xf numFmtId="0" fontId="0" fillId="2" borderId="17" xfId="0" applyFill="1" applyBorder="1"/>
    <xf numFmtId="4" fontId="15" fillId="6" borderId="17" xfId="2" applyNumberFormat="1" applyFont="1" applyBorder="1"/>
    <xf numFmtId="4" fontId="10" fillId="14" borderId="17" xfId="0" applyNumberFormat="1" applyFont="1" applyFill="1" applyBorder="1" applyAlignment="1">
      <alignment horizontal="right"/>
    </xf>
    <xf numFmtId="4" fontId="0" fillId="14" borderId="17" xfId="0" applyNumberFormat="1" applyFill="1" applyBorder="1"/>
    <xf numFmtId="0" fontId="3" fillId="0" borderId="9" xfId="0" applyFont="1" applyBorder="1"/>
    <xf numFmtId="165" fontId="4" fillId="2" borderId="20" xfId="0" applyNumberFormat="1" applyFont="1" applyFill="1" applyBorder="1"/>
    <xf numFmtId="165" fontId="4" fillId="2" borderId="17" xfId="0" applyNumberFormat="1" applyFont="1" applyFill="1" applyBorder="1"/>
    <xf numFmtId="0" fontId="3" fillId="0" borderId="0" xfId="0" applyFont="1"/>
    <xf numFmtId="0" fontId="32" fillId="0" borderId="0" xfId="0" applyFont="1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4" fontId="12" fillId="4" borderId="1" xfId="0" applyNumberFormat="1" applyFont="1" applyFill="1" applyBorder="1" applyAlignment="1">
      <alignment horizontal="center"/>
    </xf>
    <xf numFmtId="166" fontId="13" fillId="4" borderId="3" xfId="0" applyNumberFormat="1" applyFont="1" applyFill="1" applyBorder="1" applyAlignment="1">
      <alignment horizontal="center"/>
    </xf>
    <xf numFmtId="166" fontId="18" fillId="4" borderId="3" xfId="0" applyNumberFormat="1" applyFont="1" applyFill="1" applyBorder="1" applyAlignment="1">
      <alignment horizontal="center"/>
    </xf>
    <xf numFmtId="166" fontId="18" fillId="4" borderId="20" xfId="0" applyNumberFormat="1" applyFont="1" applyFill="1" applyBorder="1" applyAlignment="1">
      <alignment horizontal="center"/>
    </xf>
    <xf numFmtId="166" fontId="18" fillId="4" borderId="19" xfId="0" applyNumberFormat="1" applyFont="1" applyFill="1" applyBorder="1" applyAlignment="1">
      <alignment horizontal="center"/>
    </xf>
    <xf numFmtId="0" fontId="0" fillId="4" borderId="1" xfId="0" applyFill="1" applyBorder="1"/>
    <xf numFmtId="166" fontId="18" fillId="4" borderId="11" xfId="0" applyNumberFormat="1" applyFont="1" applyFill="1" applyBorder="1" applyAlignment="1">
      <alignment horizontal="center"/>
    </xf>
    <xf numFmtId="166" fontId="18" fillId="4" borderId="2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" fontId="3" fillId="2" borderId="1" xfId="0" applyNumberFormat="1" applyFont="1" applyFill="1" applyBorder="1"/>
    <xf numFmtId="0" fontId="32" fillId="4" borderId="2" xfId="0" applyFont="1" applyFill="1" applyBorder="1"/>
    <xf numFmtId="4" fontId="0" fillId="2" borderId="1" xfId="0" applyNumberFormat="1" applyFill="1" applyBorder="1"/>
    <xf numFmtId="2" fontId="0" fillId="0" borderId="1" xfId="0" applyNumberFormat="1" applyBorder="1"/>
    <xf numFmtId="16" fontId="0" fillId="0" borderId="1" xfId="0" applyNumberFormat="1" applyBorder="1"/>
    <xf numFmtId="0" fontId="32" fillId="4" borderId="1" xfId="0" applyFont="1" applyFill="1" applyBorder="1"/>
    <xf numFmtId="2" fontId="32" fillId="4" borderId="1" xfId="0" applyNumberFormat="1" applyFont="1" applyFill="1" applyBorder="1"/>
    <xf numFmtId="2" fontId="0" fillId="2" borderId="1" xfId="0" applyNumberFormat="1" applyFill="1" applyBorder="1"/>
    <xf numFmtId="0" fontId="3" fillId="2" borderId="1" xfId="0" applyFont="1" applyFill="1" applyBorder="1"/>
    <xf numFmtId="2" fontId="15" fillId="2" borderId="1" xfId="0" applyNumberFormat="1" applyFont="1" applyFill="1" applyBorder="1"/>
    <xf numFmtId="0" fontId="26" fillId="6" borderId="1" xfId="2" applyFont="1" applyBorder="1"/>
    <xf numFmtId="0" fontId="15" fillId="6" borderId="1" xfId="2" applyFont="1" applyBorder="1" applyAlignment="1">
      <alignment horizontal="center"/>
    </xf>
    <xf numFmtId="1" fontId="0" fillId="2" borderId="1" xfId="0" applyNumberFormat="1" applyFill="1" applyBorder="1"/>
    <xf numFmtId="0" fontId="14" fillId="0" borderId="1" xfId="0" applyFont="1" applyBorder="1"/>
    <xf numFmtId="0" fontId="33" fillId="4" borderId="1" xfId="0" applyFont="1" applyFill="1" applyBorder="1"/>
    <xf numFmtId="4" fontId="34" fillId="2" borderId="1" xfId="0" applyNumberFormat="1" applyFont="1" applyFill="1" applyBorder="1"/>
    <xf numFmtId="0" fontId="0" fillId="2" borderId="1" xfId="0" applyFill="1" applyBorder="1" applyAlignment="1"/>
    <xf numFmtId="0" fontId="14" fillId="2" borderId="1" xfId="0" applyFont="1" applyFill="1" applyBorder="1"/>
    <xf numFmtId="0" fontId="0" fillId="2" borderId="1" xfId="0" applyFont="1" applyFill="1" applyBorder="1"/>
    <xf numFmtId="2" fontId="15" fillId="6" borderId="1" xfId="2" applyNumberFormat="1" applyFont="1" applyBorder="1"/>
    <xf numFmtId="4" fontId="20" fillId="9" borderId="0" xfId="0" applyNumberFormat="1" applyFont="1" applyFill="1"/>
    <xf numFmtId="0" fontId="14" fillId="2" borderId="1" xfId="0" applyFont="1" applyFill="1" applyBorder="1" applyAlignment="1">
      <alignment horizontal="center"/>
    </xf>
    <xf numFmtId="4" fontId="35" fillId="2" borderId="1" xfId="0" applyNumberFormat="1" applyFont="1" applyFill="1" applyBorder="1"/>
    <xf numFmtId="16" fontId="0" fillId="2" borderId="1" xfId="0" applyNumberFormat="1" applyFill="1" applyBorder="1"/>
    <xf numFmtId="0" fontId="32" fillId="2" borderId="1" xfId="0" applyFont="1" applyFill="1" applyBorder="1"/>
    <xf numFmtId="0" fontId="12" fillId="8" borderId="23" xfId="0" applyFont="1" applyFill="1" applyBorder="1" applyAlignment="1">
      <alignment horizontal="center"/>
    </xf>
    <xf numFmtId="166" fontId="13" fillId="10" borderId="11" xfId="0" applyNumberFormat="1" applyFont="1" applyFill="1" applyBorder="1" applyAlignment="1">
      <alignment horizontal="center"/>
    </xf>
    <xf numFmtId="0" fontId="0" fillId="9" borderId="18" xfId="0" applyFill="1" applyBorder="1"/>
    <xf numFmtId="165" fontId="2" fillId="6" borderId="19" xfId="2" applyNumberFormat="1" applyFont="1" applyBorder="1"/>
    <xf numFmtId="0" fontId="2" fillId="6" borderId="19" xfId="2" applyFont="1" applyBorder="1"/>
    <xf numFmtId="0" fontId="0" fillId="9" borderId="16" xfId="0" applyFill="1" applyBorder="1"/>
    <xf numFmtId="167" fontId="20" fillId="9" borderId="16" xfId="0" applyNumberFormat="1" applyFont="1" applyFill="1" applyBorder="1"/>
    <xf numFmtId="165" fontId="25" fillId="9" borderId="15" xfId="0" applyNumberFormat="1" applyFont="1" applyFill="1" applyBorder="1"/>
    <xf numFmtId="0" fontId="0" fillId="0" borderId="8" xfId="0" applyBorder="1"/>
    <xf numFmtId="0" fontId="22" fillId="7" borderId="1" xfId="0" applyFont="1" applyFill="1" applyBorder="1" applyAlignment="1">
      <alignment horizontal="center"/>
    </xf>
    <xf numFmtId="165" fontId="2" fillId="6" borderId="20" xfId="2" applyNumberFormat="1" applyFont="1" applyBorder="1"/>
    <xf numFmtId="165" fontId="2" fillId="6" borderId="17" xfId="2" applyNumberFormat="1" applyFont="1" applyBorder="1"/>
    <xf numFmtId="165" fontId="37" fillId="2" borderId="20" xfId="0" applyNumberFormat="1" applyFont="1" applyFill="1" applyBorder="1"/>
    <xf numFmtId="165" fontId="30" fillId="2" borderId="3" xfId="0" applyNumberFormat="1" applyFont="1" applyFill="1" applyBorder="1" applyAlignment="1">
      <alignment horizontal="right"/>
    </xf>
    <xf numFmtId="165" fontId="30" fillId="2" borderId="20" xfId="0" applyNumberFormat="1" applyFont="1" applyFill="1" applyBorder="1" applyAlignment="1">
      <alignment horizontal="right"/>
    </xf>
    <xf numFmtId="165" fontId="2" fillId="6" borderId="3" xfId="2" applyNumberFormat="1" applyFont="1" applyBorder="1"/>
    <xf numFmtId="0" fontId="11" fillId="4" borderId="25" xfId="0" applyFont="1" applyFill="1" applyBorder="1" applyAlignment="1">
      <alignment horizontal="center"/>
    </xf>
    <xf numFmtId="165" fontId="37" fillId="2" borderId="17" xfId="0" applyNumberFormat="1" applyFont="1" applyFill="1" applyBorder="1"/>
    <xf numFmtId="0" fontId="0" fillId="0" borderId="0" xfId="0" applyFont="1"/>
    <xf numFmtId="0" fontId="0" fillId="2" borderId="27" xfId="0" applyFont="1" applyFill="1" applyBorder="1"/>
    <xf numFmtId="0" fontId="0" fillId="2" borderId="42" xfId="0" applyFont="1" applyFill="1" applyBorder="1"/>
    <xf numFmtId="0" fontId="0" fillId="2" borderId="43" xfId="0" applyFont="1" applyFill="1" applyBorder="1"/>
    <xf numFmtId="165" fontId="37" fillId="0" borderId="18" xfId="0" applyNumberFormat="1" applyFont="1" applyBorder="1"/>
    <xf numFmtId="0" fontId="0" fillId="0" borderId="45" xfId="0" applyBorder="1"/>
    <xf numFmtId="0" fontId="4" fillId="0" borderId="45" xfId="0" applyFont="1" applyBorder="1"/>
    <xf numFmtId="0" fontId="4" fillId="0" borderId="42" xfId="0" applyFont="1" applyBorder="1"/>
    <xf numFmtId="0" fontId="4" fillId="0" borderId="46" xfId="0" applyFont="1" applyBorder="1"/>
    <xf numFmtId="0" fontId="4" fillId="0" borderId="41" xfId="0" applyFont="1" applyBorder="1"/>
    <xf numFmtId="0" fontId="0" fillId="0" borderId="11" xfId="0" applyBorder="1"/>
    <xf numFmtId="4" fontId="3" fillId="0" borderId="25" xfId="0" applyNumberFormat="1" applyFont="1" applyBorder="1"/>
    <xf numFmtId="165" fontId="38" fillId="10" borderId="18" xfId="0" applyNumberFormat="1" applyFont="1" applyFill="1" applyBorder="1" applyAlignment="1">
      <alignment horizontal="center"/>
    </xf>
    <xf numFmtId="165" fontId="22" fillId="2" borderId="4" xfId="0" applyNumberFormat="1" applyFont="1" applyFill="1" applyBorder="1"/>
    <xf numFmtId="4" fontId="0" fillId="14" borderId="43" xfId="0" applyNumberFormat="1" applyFill="1" applyBorder="1"/>
    <xf numFmtId="165" fontId="39" fillId="2" borderId="20" xfId="0" applyNumberFormat="1" applyFont="1" applyFill="1" applyBorder="1"/>
    <xf numFmtId="165" fontId="39" fillId="2" borderId="3" xfId="0" applyNumberFormat="1" applyFont="1" applyFill="1" applyBorder="1" applyAlignment="1">
      <alignment horizontal="right"/>
    </xf>
    <xf numFmtId="165" fontId="39" fillId="2" borderId="20" xfId="0" applyNumberFormat="1" applyFont="1" applyFill="1" applyBorder="1" applyAlignment="1">
      <alignment horizontal="right"/>
    </xf>
    <xf numFmtId="165" fontId="4" fillId="0" borderId="18" xfId="0" applyNumberFormat="1" applyFont="1" applyBorder="1"/>
    <xf numFmtId="165" fontId="15" fillId="2" borderId="17" xfId="2" applyNumberFormat="1" applyFont="1" applyFill="1" applyBorder="1"/>
    <xf numFmtId="165" fontId="34" fillId="2" borderId="17" xfId="2" applyNumberFormat="1" applyFont="1" applyFill="1" applyBorder="1"/>
    <xf numFmtId="0" fontId="0" fillId="0" borderId="14" xfId="0" applyBorder="1"/>
    <xf numFmtId="165" fontId="3" fillId="0" borderId="26" xfId="0" applyNumberFormat="1" applyFont="1" applyBorder="1"/>
    <xf numFmtId="0" fontId="40" fillId="0" borderId="27" xfId="0" applyFont="1" applyBorder="1"/>
    <xf numFmtId="0" fontId="34" fillId="0" borderId="27" xfId="0" applyFont="1" applyBorder="1"/>
    <xf numFmtId="4" fontId="40" fillId="0" borderId="27" xfId="0" applyNumberFormat="1" applyFont="1" applyBorder="1"/>
    <xf numFmtId="0" fontId="14" fillId="0" borderId="27" xfId="0" applyFont="1" applyBorder="1"/>
    <xf numFmtId="0" fontId="14" fillId="0" borderId="0" xfId="0" applyFont="1" applyBorder="1"/>
    <xf numFmtId="164" fontId="0" fillId="0" borderId="48" xfId="0" applyNumberFormat="1" applyBorder="1"/>
    <xf numFmtId="164" fontId="7" fillId="4" borderId="14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4" fontId="15" fillId="2" borderId="1" xfId="0" applyNumberFormat="1" applyFont="1" applyFill="1" applyBorder="1"/>
    <xf numFmtId="0" fontId="2" fillId="0" borderId="1" xfId="0" applyFont="1" applyBorder="1"/>
    <xf numFmtId="0" fontId="41" fillId="4" borderId="1" xfId="0" applyFont="1" applyFill="1" applyBorder="1"/>
    <xf numFmtId="2" fontId="41" fillId="4" borderId="1" xfId="0" applyNumberFormat="1" applyFont="1" applyFill="1" applyBorder="1"/>
    <xf numFmtId="4" fontId="2" fillId="2" borderId="1" xfId="0" applyNumberFormat="1" applyFont="1" applyFill="1" applyBorder="1"/>
    <xf numFmtId="2" fontId="2" fillId="2" borderId="1" xfId="0" applyNumberFormat="1" applyFont="1" applyFill="1" applyBorder="1"/>
    <xf numFmtId="4" fontId="2" fillId="0" borderId="1" xfId="0" applyNumberFormat="1" applyFont="1" applyBorder="1"/>
    <xf numFmtId="0" fontId="2" fillId="2" borderId="1" xfId="0" applyFont="1" applyFill="1" applyBorder="1"/>
    <xf numFmtId="0" fontId="34" fillId="0" borderId="0" xfId="0" applyFont="1" applyBorder="1"/>
    <xf numFmtId="0" fontId="40" fillId="0" borderId="33" xfId="0" applyFont="1" applyBorder="1"/>
    <xf numFmtId="0" fontId="14" fillId="0" borderId="33" xfId="0" applyFont="1" applyBorder="1"/>
    <xf numFmtId="4" fontId="40" fillId="0" borderId="33" xfId="0" applyNumberFormat="1" applyFont="1" applyBorder="1"/>
    <xf numFmtId="0" fontId="14" fillId="0" borderId="0" xfId="0" applyFont="1"/>
    <xf numFmtId="4" fontId="34" fillId="0" borderId="40" xfId="0" applyNumberFormat="1" applyFont="1" applyBorder="1"/>
    <xf numFmtId="4" fontId="15" fillId="0" borderId="50" xfId="0" applyNumberFormat="1" applyFont="1" applyBorder="1"/>
    <xf numFmtId="166" fontId="40" fillId="0" borderId="45" xfId="0" applyNumberFormat="1" applyFont="1" applyBorder="1"/>
    <xf numFmtId="166" fontId="25" fillId="0" borderId="52" xfId="0" applyNumberFormat="1" applyFont="1" applyBorder="1"/>
    <xf numFmtId="4" fontId="40" fillId="0" borderId="51" xfId="0" applyNumberFormat="1" applyFont="1" applyBorder="1"/>
    <xf numFmtId="4" fontId="34" fillId="0" borderId="49" xfId="0" applyNumberFormat="1" applyFont="1" applyBorder="1"/>
    <xf numFmtId="166" fontId="25" fillId="0" borderId="45" xfId="0" applyNumberFormat="1" applyFont="1" applyBorder="1"/>
    <xf numFmtId="4" fontId="15" fillId="0" borderId="40" xfId="0" applyNumberFormat="1" applyFont="1" applyBorder="1"/>
    <xf numFmtId="166" fontId="40" fillId="0" borderId="51" xfId="0" applyNumberFormat="1" applyFont="1" applyBorder="1"/>
    <xf numFmtId="166" fontId="40" fillId="0" borderId="49" xfId="0" applyNumberFormat="1" applyFont="1" applyBorder="1"/>
    <xf numFmtId="166" fontId="40" fillId="0" borderId="33" xfId="0" applyNumberFormat="1" applyFont="1" applyBorder="1"/>
    <xf numFmtId="0" fontId="17" fillId="3" borderId="10" xfId="0" applyFont="1" applyFill="1" applyBorder="1"/>
    <xf numFmtId="0" fontId="0" fillId="3" borderId="9" xfId="0" applyFill="1" applyBorder="1"/>
    <xf numFmtId="0" fontId="0" fillId="3" borderId="26" xfId="0" applyFill="1" applyBorder="1"/>
    <xf numFmtId="166" fontId="3" fillId="3" borderId="18" xfId="0" applyNumberFormat="1" applyFont="1" applyFill="1" applyBorder="1"/>
    <xf numFmtId="0" fontId="0" fillId="3" borderId="18" xfId="0" applyFill="1" applyBorder="1"/>
    <xf numFmtId="166" fontId="17" fillId="3" borderId="18" xfId="0" applyNumberFormat="1" applyFont="1" applyFill="1" applyBorder="1"/>
    <xf numFmtId="4" fontId="3" fillId="3" borderId="17" xfId="0" applyNumberFormat="1" applyFont="1" applyFill="1" applyBorder="1"/>
    <xf numFmtId="4" fontId="3" fillId="3" borderId="25" xfId="0" applyNumberFormat="1" applyFont="1" applyFill="1" applyBorder="1"/>
    <xf numFmtId="0" fontId="3" fillId="3" borderId="15" xfId="0" applyFont="1" applyFill="1" applyBorder="1" applyAlignment="1">
      <alignment horizontal="center"/>
    </xf>
    <xf numFmtId="0" fontId="0" fillId="4" borderId="8" xfId="0" applyFill="1" applyBorder="1"/>
    <xf numFmtId="0" fontId="0" fillId="4" borderId="46" xfId="0" applyFill="1" applyBorder="1"/>
    <xf numFmtId="0" fontId="3" fillId="4" borderId="46" xfId="0" applyFont="1" applyFill="1" applyBorder="1"/>
    <xf numFmtId="0" fontId="3" fillId="4" borderId="46" xfId="0" applyFont="1" applyFill="1" applyBorder="1" applyAlignment="1">
      <alignment horizontal="center"/>
    </xf>
    <xf numFmtId="0" fontId="3" fillId="4" borderId="41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 applyFill="1" applyBorder="1"/>
    <xf numFmtId="165" fontId="30" fillId="2" borderId="11" xfId="0" applyNumberFormat="1" applyFont="1" applyFill="1" applyBorder="1" applyAlignment="1">
      <alignment horizontal="right"/>
    </xf>
    <xf numFmtId="0" fontId="22" fillId="0" borderId="1" xfId="0" applyFont="1" applyBorder="1"/>
    <xf numFmtId="0" fontId="21" fillId="2" borderId="1" xfId="0" applyFont="1" applyFill="1" applyBorder="1"/>
    <xf numFmtId="0" fontId="21" fillId="0" borderId="1" xfId="0" applyFont="1" applyBorder="1"/>
    <xf numFmtId="0" fontId="14" fillId="0" borderId="26" xfId="0" applyFont="1" applyBorder="1"/>
    <xf numFmtId="165" fontId="30" fillId="2" borderId="17" xfId="0" applyNumberFormat="1" applyFont="1" applyFill="1" applyBorder="1"/>
    <xf numFmtId="0" fontId="0" fillId="11" borderId="1" xfId="0" applyFill="1" applyBorder="1"/>
    <xf numFmtId="4" fontId="2" fillId="6" borderId="18" xfId="2" applyNumberFormat="1" applyFont="1" applyBorder="1"/>
    <xf numFmtId="0" fontId="12" fillId="4" borderId="54" xfId="0" applyFont="1" applyFill="1" applyBorder="1" applyAlignment="1">
      <alignment horizontal="center"/>
    </xf>
    <xf numFmtId="14" fontId="23" fillId="0" borderId="5" xfId="0" applyNumberFormat="1" applyFont="1" applyBorder="1"/>
    <xf numFmtId="14" fontId="24" fillId="2" borderId="5" xfId="0" applyNumberFormat="1" applyFont="1" applyFill="1" applyBorder="1"/>
    <xf numFmtId="0" fontId="15" fillId="6" borderId="5" xfId="2" applyFont="1" applyBorder="1"/>
    <xf numFmtId="0" fontId="23" fillId="0" borderId="5" xfId="0" applyFont="1" applyBorder="1"/>
    <xf numFmtId="14" fontId="24" fillId="0" borderId="5" xfId="0" applyNumberFormat="1" applyFont="1" applyBorder="1"/>
    <xf numFmtId="0" fontId="23" fillId="2" borderId="5" xfId="0" applyFont="1" applyFill="1" applyBorder="1"/>
    <xf numFmtId="0" fontId="4" fillId="0" borderId="39" xfId="0" applyFont="1" applyBorder="1"/>
    <xf numFmtId="165" fontId="4" fillId="0" borderId="0" xfId="0" applyNumberFormat="1" applyFont="1" applyBorder="1"/>
    <xf numFmtId="165" fontId="15" fillId="6" borderId="43" xfId="2" applyNumberFormat="1" applyFont="1" applyBorder="1"/>
    <xf numFmtId="165" fontId="15" fillId="2" borderId="43" xfId="2" applyNumberFormat="1" applyFont="1" applyFill="1" applyBorder="1"/>
    <xf numFmtId="165" fontId="38" fillId="8" borderId="10" xfId="0" applyNumberFormat="1" applyFont="1" applyFill="1" applyBorder="1" applyAlignment="1">
      <alignment horizontal="center"/>
    </xf>
    <xf numFmtId="165" fontId="22" fillId="2" borderId="11" xfId="0" applyNumberFormat="1" applyFont="1" applyFill="1" applyBorder="1"/>
    <xf numFmtId="165" fontId="22" fillId="14" borderId="3" xfId="0" applyNumberFormat="1" applyFont="1" applyFill="1" applyBorder="1"/>
    <xf numFmtId="165" fontId="4" fillId="10" borderId="18" xfId="0" applyNumberFormat="1" applyFont="1" applyFill="1" applyBorder="1" applyAlignment="1">
      <alignment horizontal="center"/>
    </xf>
    <xf numFmtId="165" fontId="4" fillId="8" borderId="18" xfId="0" applyNumberFormat="1" applyFont="1" applyFill="1" applyBorder="1" applyAlignment="1">
      <alignment horizontal="center"/>
    </xf>
    <xf numFmtId="0" fontId="0" fillId="2" borderId="4" xfId="0" applyFill="1" applyBorder="1"/>
    <xf numFmtId="0" fontId="0" fillId="2" borderId="13" xfId="0" applyFill="1" applyBorder="1"/>
    <xf numFmtId="2" fontId="0" fillId="13" borderId="6" xfId="0" applyNumberFormat="1" applyFill="1" applyBorder="1"/>
    <xf numFmtId="2" fontId="0" fillId="14" borderId="5" xfId="0" applyNumberFormat="1" applyFill="1" applyBorder="1"/>
    <xf numFmtId="0" fontId="0" fillId="13" borderId="6" xfId="0" applyFill="1" applyBorder="1"/>
    <xf numFmtId="0" fontId="0" fillId="14" borderId="5" xfId="0" applyFill="1" applyBorder="1"/>
    <xf numFmtId="0" fontId="30" fillId="14" borderId="5" xfId="0" applyFont="1" applyFill="1" applyBorder="1"/>
    <xf numFmtId="0" fontId="0" fillId="0" borderId="6" xfId="0" applyBorder="1"/>
    <xf numFmtId="0" fontId="0" fillId="0" borderId="5" xfId="0" applyBorder="1"/>
    <xf numFmtId="2" fontId="0" fillId="13" borderId="53" xfId="0" applyNumberFormat="1" applyFill="1" applyBorder="1"/>
    <xf numFmtId="2" fontId="0" fillId="14" borderId="38" xfId="0" applyNumberFormat="1" applyFill="1" applyBorder="1"/>
    <xf numFmtId="0" fontId="0" fillId="2" borderId="5" xfId="0" applyFill="1" applyBorder="1"/>
    <xf numFmtId="2" fontId="15" fillId="6" borderId="5" xfId="2" applyNumberFormat="1" applyFont="1" applyBorder="1"/>
    <xf numFmtId="2" fontId="0" fillId="0" borderId="6" xfId="0" applyNumberFormat="1" applyBorder="1"/>
    <xf numFmtId="2" fontId="0" fillId="0" borderId="5" xfId="0" applyNumberFormat="1" applyBorder="1"/>
    <xf numFmtId="2" fontId="14" fillId="0" borderId="5" xfId="0" applyNumberFormat="1" applyFont="1" applyBorder="1"/>
    <xf numFmtId="0" fontId="0" fillId="0" borderId="7" xfId="0" applyBorder="1"/>
    <xf numFmtId="0" fontId="0" fillId="0" borderId="39" xfId="0" applyBorder="1"/>
    <xf numFmtId="0" fontId="12" fillId="4" borderId="55" xfId="0" applyFont="1" applyFill="1" applyBorder="1" applyAlignment="1">
      <alignment horizontal="center"/>
    </xf>
    <xf numFmtId="14" fontId="23" fillId="0" borderId="19" xfId="0" applyNumberFormat="1" applyFont="1" applyBorder="1"/>
    <xf numFmtId="0" fontId="23" fillId="0" borderId="19" xfId="0" applyFont="1" applyBorder="1"/>
    <xf numFmtId="0" fontId="23" fillId="2" borderId="19" xfId="0" applyFont="1" applyFill="1" applyBorder="1"/>
    <xf numFmtId="0" fontId="16" fillId="2" borderId="17" xfId="0" applyFont="1" applyFill="1" applyBorder="1"/>
    <xf numFmtId="0" fontId="16" fillId="0" borderId="17" xfId="0" applyFont="1" applyBorder="1"/>
    <xf numFmtId="0" fontId="23" fillId="0" borderId="17" xfId="0" applyFont="1" applyBorder="1"/>
    <xf numFmtId="0" fontId="0" fillId="0" borderId="43" xfId="0" applyBorder="1"/>
    <xf numFmtId="165" fontId="3" fillId="0" borderId="18" xfId="0" applyNumberFormat="1" applyFont="1" applyBorder="1"/>
    <xf numFmtId="0" fontId="4" fillId="2" borderId="56" xfId="0" applyFont="1" applyFill="1" applyBorder="1" applyAlignment="1">
      <alignment horizontal="center"/>
    </xf>
    <xf numFmtId="165" fontId="0" fillId="0" borderId="23" xfId="0" applyNumberFormat="1" applyBorder="1"/>
    <xf numFmtId="165" fontId="0" fillId="0" borderId="20" xfId="0" applyNumberFormat="1" applyBorder="1"/>
    <xf numFmtId="165" fontId="0" fillId="0" borderId="27" xfId="0" applyNumberFormat="1" applyBorder="1"/>
    <xf numFmtId="165" fontId="14" fillId="0" borderId="27" xfId="2" applyNumberFormat="1" applyFont="1" applyFill="1" applyBorder="1"/>
    <xf numFmtId="0" fontId="22" fillId="0" borderId="17" xfId="0" applyFont="1" applyBorder="1"/>
    <xf numFmtId="0" fontId="0" fillId="15" borderId="1" xfId="0" applyFill="1" applyBorder="1"/>
    <xf numFmtId="0" fontId="24" fillId="15" borderId="17" xfId="0" applyFont="1" applyFill="1" applyBorder="1"/>
    <xf numFmtId="0" fontId="22" fillId="4" borderId="17" xfId="0" applyFont="1" applyFill="1" applyBorder="1"/>
    <xf numFmtId="14" fontId="24" fillId="4" borderId="3" xfId="0" applyNumberFormat="1" applyFont="1" applyFill="1" applyBorder="1"/>
    <xf numFmtId="2" fontId="0" fillId="4" borderId="5" xfId="0" applyNumberFormat="1" applyFill="1" applyBorder="1"/>
    <xf numFmtId="4" fontId="15" fillId="0" borderId="1" xfId="0" applyNumberFormat="1" applyFont="1" applyBorder="1"/>
    <xf numFmtId="165" fontId="22" fillId="13" borderId="1" xfId="0" applyNumberFormat="1" applyFont="1" applyFill="1" applyBorder="1"/>
    <xf numFmtId="4" fontId="0" fillId="4" borderId="0" xfId="0" applyNumberFormat="1" applyFill="1"/>
    <xf numFmtId="0" fontId="0" fillId="0" borderId="29" xfId="0" applyBorder="1"/>
    <xf numFmtId="0" fontId="23" fillId="0" borderId="40" xfId="0" applyFont="1" applyBorder="1"/>
    <xf numFmtId="0" fontId="23" fillId="0" borderId="39" xfId="0" applyFont="1" applyBorder="1"/>
    <xf numFmtId="165" fontId="4" fillId="2" borderId="43" xfId="0" applyNumberFormat="1" applyFont="1" applyFill="1" applyBorder="1"/>
    <xf numFmtId="165" fontId="22" fillId="14" borderId="42" xfId="0" applyNumberFormat="1" applyFont="1" applyFill="1" applyBorder="1"/>
    <xf numFmtId="2" fontId="0" fillId="13" borderId="7" xfId="0" applyNumberFormat="1" applyFill="1" applyBorder="1"/>
    <xf numFmtId="2" fontId="0" fillId="14" borderId="39" xfId="0" applyNumberFormat="1" applyFill="1" applyBorder="1"/>
    <xf numFmtId="4" fontId="10" fillId="14" borderId="43" xfId="0" applyNumberFormat="1" applyFont="1" applyFill="1" applyBorder="1" applyAlignment="1">
      <alignment horizontal="right"/>
    </xf>
    <xf numFmtId="0" fontId="23" fillId="0" borderId="34" xfId="0" applyFont="1" applyBorder="1"/>
    <xf numFmtId="0" fontId="23" fillId="0" borderId="13" xfId="0" applyFont="1" applyBorder="1"/>
    <xf numFmtId="165" fontId="15" fillId="2" borderId="25" xfId="2" applyNumberFormat="1" applyFont="1" applyFill="1" applyBorder="1"/>
    <xf numFmtId="0" fontId="0" fillId="0" borderId="4" xfId="0" applyBorder="1"/>
    <xf numFmtId="0" fontId="0" fillId="0" borderId="13" xfId="0" applyBorder="1"/>
    <xf numFmtId="14" fontId="23" fillId="0" borderId="40" xfId="0" applyNumberFormat="1" applyFont="1" applyBorder="1"/>
    <xf numFmtId="14" fontId="23" fillId="0" borderId="39" xfId="0" applyNumberFormat="1" applyFont="1" applyBorder="1"/>
    <xf numFmtId="0" fontId="0" fillId="13" borderId="7" xfId="0" applyFill="1" applyBorder="1"/>
    <xf numFmtId="0" fontId="0" fillId="14" borderId="39" xfId="0" applyFill="1" applyBorder="1"/>
    <xf numFmtId="17" fontId="17" fillId="7" borderId="18" xfId="0" applyNumberFormat="1" applyFont="1" applyFill="1" applyBorder="1" applyAlignment="1">
      <alignment horizontal="center"/>
    </xf>
    <xf numFmtId="0" fontId="42" fillId="9" borderId="16" xfId="0" applyFont="1" applyFill="1" applyBorder="1"/>
    <xf numFmtId="0" fontId="42" fillId="0" borderId="0" xfId="0" applyFont="1"/>
    <xf numFmtId="0" fontId="42" fillId="0" borderId="10" xfId="0" applyFont="1" applyBorder="1"/>
    <xf numFmtId="0" fontId="25" fillId="6" borderId="41" xfId="2" applyFont="1" applyBorder="1"/>
    <xf numFmtId="165" fontId="25" fillId="6" borderId="18" xfId="2" applyNumberFormat="1" applyFont="1" applyBorder="1"/>
    <xf numFmtId="165" fontId="25" fillId="6" borderId="10" xfId="2" applyNumberFormat="1" applyFont="1" applyBorder="1"/>
    <xf numFmtId="165" fontId="25" fillId="6" borderId="8" xfId="2" applyNumberFormat="1" applyFont="1" applyBorder="1"/>
    <xf numFmtId="165" fontId="25" fillId="6" borderId="26" xfId="2" applyNumberFormat="1" applyFont="1" applyBorder="1"/>
    <xf numFmtId="165" fontId="25" fillId="6" borderId="9" xfId="2" applyNumberFormat="1" applyFont="1" applyBorder="1"/>
    <xf numFmtId="4" fontId="43" fillId="6" borderId="18" xfId="2" applyNumberFormat="1" applyFont="1" applyBorder="1"/>
    <xf numFmtId="4" fontId="43" fillId="6" borderId="26" xfId="2" applyNumberFormat="1" applyFont="1" applyBorder="1"/>
    <xf numFmtId="165" fontId="25" fillId="6" borderId="47" xfId="2" applyNumberFormat="1" applyFont="1" applyBorder="1"/>
    <xf numFmtId="4" fontId="44" fillId="14" borderId="17" xfId="0" applyNumberFormat="1" applyFont="1" applyFill="1" applyBorder="1" applyAlignment="1">
      <alignment horizontal="right"/>
    </xf>
    <xf numFmtId="0" fontId="0" fillId="0" borderId="44" xfId="0" applyBorder="1"/>
    <xf numFmtId="0" fontId="23" fillId="0" borderId="11" xfId="0" applyFont="1" applyBorder="1"/>
    <xf numFmtId="165" fontId="22" fillId="2" borderId="23" xfId="0" applyNumberFormat="1" applyFont="1" applyFill="1" applyBorder="1"/>
    <xf numFmtId="165" fontId="22" fillId="2" borderId="20" xfId="0" applyNumberFormat="1" applyFont="1" applyFill="1" applyBorder="1"/>
    <xf numFmtId="4" fontId="15" fillId="2" borderId="25" xfId="2" applyNumberFormat="1" applyFont="1" applyFill="1" applyBorder="1"/>
    <xf numFmtId="165" fontId="15" fillId="2" borderId="44" xfId="2" applyNumberFormat="1" applyFont="1" applyFill="1" applyBorder="1"/>
    <xf numFmtId="0" fontId="23" fillId="0" borderId="42" xfId="0" applyFont="1" applyBorder="1"/>
    <xf numFmtId="165" fontId="22" fillId="2" borderId="27" xfId="0" applyNumberFormat="1" applyFont="1" applyFill="1" applyBorder="1"/>
    <xf numFmtId="0" fontId="25" fillId="6" borderId="47" xfId="2" applyFont="1" applyBorder="1"/>
    <xf numFmtId="4" fontId="25" fillId="6" borderId="18" xfId="2" applyNumberFormat="1" applyFont="1" applyBorder="1"/>
    <xf numFmtId="4" fontId="25" fillId="6" borderId="26" xfId="2" applyNumberFormat="1" applyFont="1" applyBorder="1"/>
    <xf numFmtId="165" fontId="39" fillId="2" borderId="17" xfId="0" applyNumberFormat="1" applyFont="1" applyFill="1" applyBorder="1"/>
    <xf numFmtId="165" fontId="24" fillId="13" borderId="6" xfId="0" applyNumberFormat="1" applyFont="1" applyFill="1" applyBorder="1"/>
    <xf numFmtId="165" fontId="24" fillId="14" borderId="5" xfId="0" applyNumberFormat="1" applyFont="1" applyFill="1" applyBorder="1"/>
    <xf numFmtId="14" fontId="21" fillId="11" borderId="1" xfId="0" applyNumberFormat="1" applyFont="1" applyFill="1" applyBorder="1"/>
    <xf numFmtId="0" fontId="23" fillId="11" borderId="1" xfId="0" applyFont="1" applyFill="1" applyBorder="1"/>
    <xf numFmtId="4" fontId="0" fillId="0" borderId="3" xfId="0" applyNumberFormat="1" applyFont="1" applyBorder="1"/>
    <xf numFmtId="4" fontId="25" fillId="6" borderId="9" xfId="2" applyNumberFormat="1" applyFont="1" applyBorder="1"/>
    <xf numFmtId="0" fontId="0" fillId="0" borderId="57" xfId="0" applyBorder="1"/>
    <xf numFmtId="0" fontId="0" fillId="0" borderId="54" xfId="0" applyBorder="1"/>
    <xf numFmtId="4" fontId="3" fillId="0" borderId="6" xfId="0" applyNumberFormat="1" applyFont="1" applyBorder="1"/>
    <xf numFmtId="4" fontId="3" fillId="0" borderId="5" xfId="0" applyNumberFormat="1" applyFont="1" applyBorder="1"/>
    <xf numFmtId="4" fontId="0" fillId="0" borderId="6" xfId="0" applyNumberFormat="1" applyFont="1" applyBorder="1"/>
    <xf numFmtId="4" fontId="0" fillId="0" borderId="5" xfId="0" applyNumberFormat="1" applyFont="1" applyBorder="1"/>
    <xf numFmtId="4" fontId="3" fillId="2" borderId="6" xfId="0" applyNumberFormat="1" applyFont="1" applyFill="1" applyBorder="1"/>
    <xf numFmtId="4" fontId="3" fillId="2" borderId="5" xfId="0" applyNumberFormat="1" applyFont="1" applyFill="1" applyBorder="1"/>
    <xf numFmtId="4" fontId="34" fillId="2" borderId="6" xfId="0" applyNumberFormat="1" applyFont="1" applyFill="1" applyBorder="1"/>
    <xf numFmtId="16" fontId="0" fillId="0" borderId="3" xfId="0" applyNumberFormat="1" applyBorder="1"/>
    <xf numFmtId="16" fontId="0" fillId="2" borderId="3" xfId="0" applyNumberFormat="1" applyFill="1" applyBorder="1"/>
    <xf numFmtId="2" fontId="34" fillId="2" borderId="19" xfId="0" applyNumberFormat="1" applyFont="1" applyFill="1" applyBorder="1"/>
    <xf numFmtId="0" fontId="0" fillId="0" borderId="17" xfId="0" applyBorder="1" applyAlignment="1">
      <alignment horizontal="left"/>
    </xf>
    <xf numFmtId="0" fontId="14" fillId="0" borderId="17" xfId="0" applyFont="1" applyBorder="1"/>
    <xf numFmtId="0" fontId="14" fillId="2" borderId="17" xfId="0" applyFont="1" applyFill="1" applyBorder="1"/>
    <xf numFmtId="0" fontId="0" fillId="0" borderId="17" xfId="0" applyFont="1" applyBorder="1"/>
    <xf numFmtId="0" fontId="15" fillId="2" borderId="17" xfId="0" applyFont="1" applyFill="1" applyBorder="1"/>
    <xf numFmtId="0" fontId="45" fillId="2" borderId="17" xfId="0" applyFont="1" applyFill="1" applyBorder="1"/>
    <xf numFmtId="0" fontId="42" fillId="0" borderId="18" xfId="0" applyFont="1" applyBorder="1"/>
    <xf numFmtId="0" fontId="15" fillId="16" borderId="17" xfId="0" applyFont="1" applyFill="1" applyBorder="1"/>
    <xf numFmtId="4" fontId="0" fillId="8" borderId="0" xfId="0" applyNumberFormat="1" applyFill="1"/>
    <xf numFmtId="4" fontId="15" fillId="4" borderId="0" xfId="0" applyNumberFormat="1" applyFont="1" applyFill="1"/>
    <xf numFmtId="4" fontId="3" fillId="4" borderId="0" xfId="0" applyNumberFormat="1" applyFont="1" applyFill="1"/>
    <xf numFmtId="0" fontId="0" fillId="17" borderId="1" xfId="0" applyFill="1" applyBorder="1"/>
    <xf numFmtId="165" fontId="44" fillId="2" borderId="17" xfId="0" applyNumberFormat="1" applyFont="1" applyFill="1" applyBorder="1"/>
    <xf numFmtId="165" fontId="44" fillId="2" borderId="20" xfId="0" applyNumberFormat="1" applyFont="1" applyFill="1" applyBorder="1"/>
    <xf numFmtId="165" fontId="44" fillId="2" borderId="3" xfId="0" applyNumberFormat="1" applyFont="1" applyFill="1" applyBorder="1" applyAlignment="1">
      <alignment horizontal="right"/>
    </xf>
    <xf numFmtId="0" fontId="0" fillId="8" borderId="1" xfId="0" applyFill="1" applyBorder="1"/>
    <xf numFmtId="0" fontId="0" fillId="15" borderId="1" xfId="0" applyFont="1" applyFill="1" applyBorder="1"/>
    <xf numFmtId="17" fontId="17" fillId="7" borderId="14" xfId="0" applyNumberFormat="1" applyFont="1" applyFill="1" applyBorder="1" applyAlignment="1">
      <alignment horizontal="center"/>
    </xf>
    <xf numFmtId="165" fontId="22" fillId="2" borderId="44" xfId="0" applyNumberFormat="1" applyFont="1" applyFill="1" applyBorder="1"/>
    <xf numFmtId="165" fontId="22" fillId="2" borderId="25" xfId="0" applyNumberFormat="1" applyFont="1" applyFill="1" applyBorder="1"/>
    <xf numFmtId="165" fontId="22" fillId="2" borderId="17" xfId="0" applyNumberFormat="1" applyFont="1" applyFill="1" applyBorder="1"/>
    <xf numFmtId="165" fontId="24" fillId="2" borderId="17" xfId="0" applyNumberFormat="1" applyFont="1" applyFill="1" applyBorder="1"/>
    <xf numFmtId="165" fontId="4" fillId="0" borderId="43" xfId="0" applyNumberFormat="1" applyFont="1" applyBorder="1"/>
    <xf numFmtId="0" fontId="31" fillId="0" borderId="13" xfId="0" applyFont="1" applyBorder="1"/>
    <xf numFmtId="0" fontId="24" fillId="0" borderId="13" xfId="0" applyFont="1" applyBorder="1"/>
    <xf numFmtId="4" fontId="15" fillId="6" borderId="18" xfId="2" applyNumberFormat="1" applyFont="1" applyBorder="1"/>
    <xf numFmtId="4" fontId="15" fillId="6" borderId="26" xfId="2" applyNumberFormat="1" applyFont="1" applyBorder="1"/>
    <xf numFmtId="165" fontId="30" fillId="2" borderId="42" xfId="0" applyNumberFormat="1" applyFont="1" applyFill="1" applyBorder="1" applyAlignment="1">
      <alignment horizontal="right"/>
    </xf>
    <xf numFmtId="165" fontId="22" fillId="13" borderId="7" xfId="0" applyNumberFormat="1" applyFont="1" applyFill="1" applyBorder="1"/>
    <xf numFmtId="0" fontId="22" fillId="0" borderId="45" xfId="0" applyFont="1" applyBorder="1" applyAlignment="1">
      <alignment horizontal="center"/>
    </xf>
    <xf numFmtId="0" fontId="23" fillId="0" borderId="45" xfId="0" applyFont="1" applyBorder="1"/>
    <xf numFmtId="165" fontId="37" fillId="2" borderId="43" xfId="0" applyNumberFormat="1" applyFont="1" applyFill="1" applyBorder="1"/>
    <xf numFmtId="165" fontId="37" fillId="2" borderId="27" xfId="0" applyNumberFormat="1" applyFont="1" applyFill="1" applyBorder="1"/>
    <xf numFmtId="165" fontId="22" fillId="14" borderId="39" xfId="0" applyNumberFormat="1" applyFont="1" applyFill="1" applyBorder="1"/>
    <xf numFmtId="0" fontId="22" fillId="0" borderId="2" xfId="0" applyFont="1" applyBorder="1" applyAlignment="1">
      <alignment horizontal="center"/>
    </xf>
    <xf numFmtId="0" fontId="23" fillId="0" borderId="2" xfId="0" applyFont="1" applyBorder="1"/>
    <xf numFmtId="165" fontId="37" fillId="2" borderId="25" xfId="0" applyNumberFormat="1" applyFont="1" applyFill="1" applyBorder="1"/>
    <xf numFmtId="165" fontId="37" fillId="2" borderId="23" xfId="0" applyNumberFormat="1" applyFont="1" applyFill="1" applyBorder="1"/>
    <xf numFmtId="165" fontId="22" fillId="2" borderId="13" xfId="0" applyNumberFormat="1" applyFont="1" applyFill="1" applyBorder="1"/>
    <xf numFmtId="0" fontId="22" fillId="0" borderId="8" xfId="0" applyFont="1" applyBorder="1" applyAlignment="1">
      <alignment horizontal="center"/>
    </xf>
    <xf numFmtId="17" fontId="26" fillId="6" borderId="46" xfId="2" applyNumberFormat="1" applyFont="1" applyBorder="1" applyAlignment="1">
      <alignment horizontal="center"/>
    </xf>
    <xf numFmtId="0" fontId="15" fillId="6" borderId="46" xfId="2" applyFont="1" applyBorder="1"/>
    <xf numFmtId="0" fontId="15" fillId="6" borderId="47" xfId="2" applyFont="1" applyBorder="1"/>
    <xf numFmtId="0" fontId="15" fillId="0" borderId="17" xfId="0" applyFont="1" applyBorder="1"/>
    <xf numFmtId="4" fontId="2" fillId="6" borderId="26" xfId="2" applyNumberFormat="1" applyFont="1" applyBorder="1"/>
    <xf numFmtId="4" fontId="0" fillId="2" borderId="0" xfId="0" applyNumberFormat="1" applyFill="1"/>
    <xf numFmtId="4" fontId="2" fillId="2" borderId="0" xfId="0" applyNumberFormat="1" applyFont="1" applyFill="1"/>
    <xf numFmtId="0" fontId="0" fillId="15" borderId="17" xfId="0" applyFill="1" applyBorder="1"/>
    <xf numFmtId="4" fontId="3" fillId="2" borderId="0" xfId="0" applyNumberFormat="1" applyFont="1" applyFill="1"/>
    <xf numFmtId="0" fontId="15" fillId="2" borderId="1" xfId="0" applyFont="1" applyFill="1" applyBorder="1"/>
    <xf numFmtId="0" fontId="34" fillId="2" borderId="1" xfId="0" applyFont="1" applyFill="1" applyBorder="1" applyAlignment="1">
      <alignment horizontal="center"/>
    </xf>
    <xf numFmtId="16" fontId="0" fillId="2" borderId="42" xfId="0" applyNumberFormat="1" applyFill="1" applyBorder="1"/>
    <xf numFmtId="0" fontId="0" fillId="2" borderId="43" xfId="0" applyFill="1" applyBorder="1"/>
    <xf numFmtId="14" fontId="24" fillId="2" borderId="42" xfId="0" applyNumberFormat="1" applyFont="1" applyFill="1" applyBorder="1"/>
    <xf numFmtId="4" fontId="0" fillId="4" borderId="0" xfId="0" applyNumberFormat="1" applyFont="1" applyFill="1"/>
    <xf numFmtId="14" fontId="24" fillId="0" borderId="39" xfId="0" applyNumberFormat="1" applyFont="1" applyBorder="1"/>
    <xf numFmtId="165" fontId="22" fillId="2" borderId="43" xfId="0" applyNumberFormat="1" applyFont="1" applyFill="1" applyBorder="1"/>
    <xf numFmtId="0" fontId="0" fillId="4" borderId="18" xfId="0" applyFill="1" applyBorder="1"/>
    <xf numFmtId="0" fontId="15" fillId="6" borderId="41" xfId="2" applyFont="1" applyBorder="1"/>
    <xf numFmtId="165" fontId="15" fillId="6" borderId="18" xfId="2" applyNumberFormat="1" applyFont="1" applyBorder="1"/>
    <xf numFmtId="2" fontId="15" fillId="6" borderId="41" xfId="2" applyNumberFormat="1" applyFont="1" applyBorder="1"/>
    <xf numFmtId="165" fontId="44" fillId="0" borderId="9" xfId="0" applyNumberFormat="1" applyFont="1" applyBorder="1"/>
    <xf numFmtId="165" fontId="44" fillId="0" borderId="41" xfId="0" applyNumberFormat="1" applyFont="1" applyBorder="1"/>
    <xf numFmtId="0" fontId="47" fillId="0" borderId="0" xfId="0" applyFont="1" applyAlignment="1">
      <alignment horizontal="left"/>
    </xf>
    <xf numFmtId="0" fontId="0" fillId="0" borderId="9" xfId="0" applyFont="1" applyBorder="1"/>
    <xf numFmtId="14" fontId="46" fillId="2" borderId="19" xfId="0" applyNumberFormat="1" applyFont="1" applyFill="1" applyBorder="1"/>
    <xf numFmtId="14" fontId="16" fillId="2" borderId="19" xfId="0" applyNumberFormat="1" applyFont="1" applyFill="1" applyBorder="1"/>
    <xf numFmtId="0" fontId="43" fillId="6" borderId="35" xfId="2" applyFont="1" applyBorder="1"/>
    <xf numFmtId="0" fontId="46" fillId="0" borderId="19" xfId="0" applyFont="1" applyBorder="1"/>
    <xf numFmtId="0" fontId="46" fillId="15" borderId="19" xfId="0" applyFont="1" applyFill="1" applyBorder="1"/>
    <xf numFmtId="14" fontId="16" fillId="4" borderId="19" xfId="0" applyNumberFormat="1" applyFont="1" applyFill="1" applyBorder="1"/>
    <xf numFmtId="4" fontId="0" fillId="2" borderId="19" xfId="0" applyNumberFormat="1" applyFont="1" applyFill="1" applyBorder="1"/>
    <xf numFmtId="2" fontId="0" fillId="2" borderId="19" xfId="0" applyNumberFormat="1" applyFont="1" applyFill="1" applyBorder="1"/>
    <xf numFmtId="2" fontId="14" fillId="2" borderId="19" xfId="0" applyNumberFormat="1" applyFont="1" applyFill="1" applyBorder="1"/>
    <xf numFmtId="14" fontId="46" fillId="0" borderId="40" xfId="0" applyNumberFormat="1" applyFont="1" applyBorder="1"/>
    <xf numFmtId="0" fontId="2" fillId="6" borderId="35" xfId="2" applyFont="1" applyBorder="1"/>
    <xf numFmtId="14" fontId="46" fillId="0" borderId="19" xfId="0" applyNumberFormat="1" applyFont="1" applyBorder="1"/>
    <xf numFmtId="0" fontId="37" fillId="0" borderId="40" xfId="0" applyFont="1" applyBorder="1"/>
    <xf numFmtId="0" fontId="37" fillId="0" borderId="35" xfId="0" applyFont="1" applyBorder="1"/>
    <xf numFmtId="0" fontId="4" fillId="2" borderId="48" xfId="0" applyFont="1" applyFill="1" applyBorder="1" applyAlignment="1">
      <alignment horizontal="center"/>
    </xf>
    <xf numFmtId="165" fontId="15" fillId="6" borderId="26" xfId="2" applyNumberFormat="1" applyFont="1" applyBorder="1"/>
    <xf numFmtId="2" fontId="3" fillId="2" borderId="5" xfId="0" applyNumberFormat="1" applyFont="1" applyFill="1" applyBorder="1"/>
    <xf numFmtId="2" fontId="15" fillId="2" borderId="5" xfId="0" applyNumberFormat="1" applyFont="1" applyFill="1" applyBorder="1"/>
    <xf numFmtId="2" fontId="34" fillId="2" borderId="5" xfId="0" applyNumberFormat="1" applyFont="1" applyFill="1" applyBorder="1"/>
    <xf numFmtId="2" fontId="3" fillId="2" borderId="6" xfId="0" applyNumberFormat="1" applyFont="1" applyFill="1" applyBorder="1"/>
    <xf numFmtId="2" fontId="34" fillId="2" borderId="6" xfId="0" applyNumberFormat="1" applyFont="1" applyFill="1" applyBorder="1"/>
    <xf numFmtId="4" fontId="15" fillId="2" borderId="6" xfId="0" applyNumberFormat="1" applyFont="1" applyFill="1" applyBorder="1"/>
    <xf numFmtId="2" fontId="15" fillId="6" borderId="8" xfId="2" applyNumberFormat="1" applyFont="1" applyBorder="1"/>
    <xf numFmtId="2" fontId="15" fillId="6" borderId="6" xfId="2" applyNumberFormat="1" applyFont="1" applyBorder="1"/>
    <xf numFmtId="2" fontId="14" fillId="0" borderId="6" xfId="0" applyNumberFormat="1" applyFont="1" applyBorder="1"/>
    <xf numFmtId="0" fontId="15" fillId="6" borderId="6" xfId="2" applyFont="1" applyBorder="1"/>
    <xf numFmtId="0" fontId="0" fillId="2" borderId="6" xfId="0" applyFill="1" applyBorder="1"/>
    <xf numFmtId="165" fontId="3" fillId="0" borderId="8" xfId="0" applyNumberFormat="1" applyFont="1" applyBorder="1"/>
    <xf numFmtId="0" fontId="15" fillId="0" borderId="17" xfId="0" applyFont="1" applyBorder="1" applyAlignment="1">
      <alignment horizontal="left"/>
    </xf>
    <xf numFmtId="0" fontId="0" fillId="7" borderId="17" xfId="0" applyFill="1" applyBorder="1"/>
    <xf numFmtId="0" fontId="2" fillId="7" borderId="19" xfId="2" applyFont="1" applyFill="1" applyBorder="1"/>
    <xf numFmtId="0" fontId="15" fillId="7" borderId="5" xfId="2" applyFont="1" applyFill="1" applyBorder="1"/>
    <xf numFmtId="165" fontId="15" fillId="7" borderId="17" xfId="2" applyNumberFormat="1" applyFont="1" applyFill="1" applyBorder="1"/>
    <xf numFmtId="165" fontId="15" fillId="7" borderId="6" xfId="2" applyNumberFormat="1" applyFont="1" applyFill="1" applyBorder="1"/>
    <xf numFmtId="165" fontId="15" fillId="7" borderId="5" xfId="2" applyNumberFormat="1" applyFont="1" applyFill="1" applyBorder="1"/>
    <xf numFmtId="165" fontId="15" fillId="7" borderId="20" xfId="2" applyNumberFormat="1" applyFont="1" applyFill="1" applyBorder="1"/>
    <xf numFmtId="0" fontId="0" fillId="9" borderId="15" xfId="0" applyFill="1" applyBorder="1"/>
    <xf numFmtId="14" fontId="16" fillId="2" borderId="40" xfId="0" applyNumberFormat="1" applyFont="1" applyFill="1" applyBorder="1"/>
    <xf numFmtId="2" fontId="34" fillId="2" borderId="39" xfId="0" applyNumberFormat="1" applyFont="1" applyFill="1" applyBorder="1"/>
    <xf numFmtId="4" fontId="0" fillId="7" borderId="0" xfId="0" applyNumberFormat="1" applyFill="1"/>
    <xf numFmtId="4" fontId="25" fillId="7" borderId="18" xfId="2" applyNumberFormat="1" applyFont="1" applyFill="1" applyBorder="1"/>
    <xf numFmtId="4" fontId="43" fillId="7" borderId="18" xfId="2" applyNumberFormat="1" applyFont="1" applyFill="1" applyBorder="1"/>
    <xf numFmtId="4" fontId="3" fillId="0" borderId="10" xfId="0" applyNumberFormat="1" applyFont="1" applyBorder="1"/>
    <xf numFmtId="4" fontId="0" fillId="0" borderId="9" xfId="0" applyNumberFormat="1" applyBorder="1"/>
    <xf numFmtId="4" fontId="4" fillId="4" borderId="18" xfId="0" applyNumberFormat="1" applyFont="1" applyFill="1" applyBorder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0" fillId="2" borderId="44" xfId="0" applyNumberFormat="1" applyFill="1" applyBorder="1"/>
    <xf numFmtId="4" fontId="0" fillId="2" borderId="23" xfId="0" applyNumberFormat="1" applyFill="1" applyBorder="1"/>
    <xf numFmtId="4" fontId="3" fillId="14" borderId="17" xfId="0" applyNumberFormat="1" applyFont="1" applyFill="1" applyBorder="1"/>
    <xf numFmtId="4" fontId="0" fillId="14" borderId="20" xfId="0" applyNumberFormat="1" applyFill="1" applyBorder="1"/>
    <xf numFmtId="4" fontId="30" fillId="14" borderId="20" xfId="0" applyNumberFormat="1" applyFont="1" applyFill="1" applyBorder="1"/>
    <xf numFmtId="4" fontId="0" fillId="14" borderId="27" xfId="0" applyNumberFormat="1" applyFill="1" applyBorder="1"/>
    <xf numFmtId="4" fontId="0" fillId="0" borderId="25" xfId="0" applyNumberFormat="1" applyBorder="1"/>
    <xf numFmtId="4" fontId="0" fillId="0" borderId="23" xfId="0" applyNumberFormat="1" applyBorder="1"/>
    <xf numFmtId="4" fontId="3" fillId="14" borderId="25" xfId="0" applyNumberFormat="1" applyFont="1" applyFill="1" applyBorder="1"/>
    <xf numFmtId="4" fontId="3" fillId="17" borderId="17" xfId="0" applyNumberFormat="1" applyFont="1" applyFill="1" applyBorder="1"/>
    <xf numFmtId="4" fontId="0" fillId="17" borderId="20" xfId="0" applyNumberFormat="1" applyFill="1" applyBorder="1"/>
    <xf numFmtId="4" fontId="0" fillId="17" borderId="17" xfId="0" applyNumberFormat="1" applyFill="1" applyBorder="1"/>
    <xf numFmtId="4" fontId="3" fillId="17" borderId="20" xfId="0" applyNumberFormat="1" applyFont="1" applyFill="1" applyBorder="1"/>
    <xf numFmtId="4" fontId="0" fillId="17" borderId="43" xfId="0" applyNumberFormat="1" applyFill="1" applyBorder="1"/>
    <xf numFmtId="4" fontId="3" fillId="17" borderId="27" xfId="0" applyNumberFormat="1" applyFont="1" applyFill="1" applyBorder="1"/>
    <xf numFmtId="4" fontId="0" fillId="17" borderId="27" xfId="0" applyNumberFormat="1" applyFill="1" applyBorder="1"/>
    <xf numFmtId="4" fontId="0" fillId="17" borderId="25" xfId="0" applyNumberFormat="1" applyFill="1" applyBorder="1"/>
    <xf numFmtId="4" fontId="0" fillId="17" borderId="23" xfId="0" applyNumberFormat="1" applyFill="1" applyBorder="1"/>
    <xf numFmtId="4" fontId="2" fillId="17" borderId="25" xfId="0" applyNumberFormat="1" applyFont="1" applyFill="1" applyBorder="1"/>
    <xf numFmtId="4" fontId="2" fillId="17" borderId="23" xfId="0" applyNumberFormat="1" applyFont="1" applyFill="1" applyBorder="1"/>
    <xf numFmtId="4" fontId="15" fillId="17" borderId="25" xfId="0" applyNumberFormat="1" applyFont="1" applyFill="1" applyBorder="1"/>
    <xf numFmtId="4" fontId="0" fillId="0" borderId="43" xfId="0" applyNumberFormat="1" applyBorder="1"/>
    <xf numFmtId="4" fontId="0" fillId="0" borderId="27" xfId="0" applyNumberFormat="1" applyBorder="1"/>
    <xf numFmtId="4" fontId="0" fillId="0" borderId="17" xfId="0" applyNumberFormat="1" applyBorder="1"/>
    <xf numFmtId="4" fontId="0" fillId="0" borderId="20" xfId="0" applyNumberFormat="1" applyBorder="1"/>
    <xf numFmtId="4" fontId="15" fillId="7" borderId="20" xfId="2" applyNumberFormat="1" applyFont="1" applyFill="1" applyBorder="1"/>
    <xf numFmtId="4" fontId="15" fillId="6" borderId="20" xfId="2" applyNumberFormat="1" applyFont="1" applyBorder="1"/>
    <xf numFmtId="4" fontId="14" fillId="0" borderId="17" xfId="0" applyNumberFormat="1" applyFont="1" applyBorder="1"/>
    <xf numFmtId="4" fontId="14" fillId="0" borderId="20" xfId="0" applyNumberFormat="1" applyFont="1" applyBorder="1"/>
    <xf numFmtId="4" fontId="0" fillId="2" borderId="17" xfId="0" applyNumberFormat="1" applyFill="1" applyBorder="1"/>
    <xf numFmtId="4" fontId="0" fillId="2" borderId="20" xfId="0" applyNumberFormat="1" applyFill="1" applyBorder="1"/>
    <xf numFmtId="4" fontId="0" fillId="0" borderId="22" xfId="0" applyNumberFormat="1" applyBorder="1"/>
    <xf numFmtId="4" fontId="15" fillId="0" borderId="18" xfId="0" applyNumberFormat="1" applyFont="1" applyBorder="1"/>
    <xf numFmtId="4" fontId="15" fillId="0" borderId="9" xfId="0" applyNumberFormat="1" applyFont="1" applyBorder="1"/>
    <xf numFmtId="4" fontId="3" fillId="17" borderId="25" xfId="0" applyNumberFormat="1" applyFont="1" applyFill="1" applyBorder="1"/>
    <xf numFmtId="4" fontId="3" fillId="7" borderId="0" xfId="0" applyNumberFormat="1" applyFont="1" applyFill="1"/>
    <xf numFmtId="0" fontId="23" fillId="2" borderId="45" xfId="0" applyFont="1" applyFill="1" applyBorder="1"/>
    <xf numFmtId="14" fontId="24" fillId="0" borderId="45" xfId="0" applyNumberFormat="1" applyFont="1" applyBorder="1"/>
    <xf numFmtId="14" fontId="24" fillId="0" borderId="42" xfId="0" applyNumberFormat="1" applyFont="1" applyBorder="1"/>
    <xf numFmtId="165" fontId="2" fillId="6" borderId="18" xfId="2" applyNumberFormat="1" applyFont="1" applyBorder="1"/>
    <xf numFmtId="165" fontId="2" fillId="6" borderId="8" xfId="2" applyNumberFormat="1" applyFont="1" applyBorder="1"/>
    <xf numFmtId="165" fontId="2" fillId="6" borderId="26" xfId="2" applyNumberFormat="1" applyFont="1" applyBorder="1"/>
    <xf numFmtId="165" fontId="15" fillId="6" borderId="8" xfId="2" applyNumberFormat="1" applyFont="1" applyBorder="1"/>
    <xf numFmtId="14" fontId="24" fillId="11" borderId="3" xfId="0" applyNumberFormat="1" applyFont="1" applyFill="1" applyBorder="1"/>
    <xf numFmtId="4" fontId="3" fillId="0" borderId="19" xfId="0" applyNumberFormat="1" applyFont="1" applyBorder="1"/>
    <xf numFmtId="4" fontId="34" fillId="0" borderId="19" xfId="0" applyNumberFormat="1" applyFont="1" applyBorder="1"/>
    <xf numFmtId="0" fontId="24" fillId="8" borderId="1" xfId="0" applyFont="1" applyFill="1" applyBorder="1"/>
    <xf numFmtId="2" fontId="3" fillId="2" borderId="19" xfId="0" applyNumberFormat="1" applyFont="1" applyFill="1" applyBorder="1"/>
    <xf numFmtId="2" fontId="3" fillId="0" borderId="19" xfId="0" applyNumberFormat="1" applyFont="1" applyBorder="1"/>
    <xf numFmtId="4" fontId="2" fillId="0" borderId="0" xfId="0" applyNumberFormat="1" applyFont="1"/>
    <xf numFmtId="16" fontId="0" fillId="0" borderId="11" xfId="0" applyNumberFormat="1" applyBorder="1"/>
    <xf numFmtId="4" fontId="3" fillId="18" borderId="0" xfId="0" applyNumberFormat="1" applyFont="1" applyFill="1"/>
    <xf numFmtId="4" fontId="0" fillId="18" borderId="0" xfId="0" applyNumberFormat="1" applyFill="1"/>
    <xf numFmtId="0" fontId="23" fillId="0" borderId="43" xfId="0" applyFont="1" applyBorder="1"/>
    <xf numFmtId="0" fontId="46" fillId="0" borderId="40" xfId="0" applyFont="1" applyBorder="1"/>
    <xf numFmtId="4" fontId="10" fillId="14" borderId="27" xfId="0" applyNumberFormat="1" applyFont="1" applyFill="1" applyBorder="1" applyAlignment="1">
      <alignment horizontal="right"/>
    </xf>
    <xf numFmtId="16" fontId="22" fillId="0" borderId="45" xfId="0" applyNumberFormat="1" applyFont="1" applyBorder="1" applyAlignment="1">
      <alignment horizontal="center"/>
    </xf>
    <xf numFmtId="0" fontId="24" fillId="0" borderId="45" xfId="0" applyFont="1" applyBorder="1"/>
    <xf numFmtId="165" fontId="30" fillId="2" borderId="27" xfId="0" applyNumberFormat="1" applyFont="1" applyFill="1" applyBorder="1" applyAlignment="1">
      <alignment horizontal="right"/>
    </xf>
    <xf numFmtId="4" fontId="3" fillId="4" borderId="25" xfId="0" applyNumberFormat="1" applyFont="1" applyFill="1" applyBorder="1"/>
    <xf numFmtId="4" fontId="0" fillId="0" borderId="44" xfId="0" applyNumberFormat="1" applyBorder="1"/>
    <xf numFmtId="4" fontId="2" fillId="2" borderId="17" xfId="0" applyNumberFormat="1" applyFont="1" applyFill="1" applyBorder="1"/>
    <xf numFmtId="4" fontId="2" fillId="2" borderId="16" xfId="0" applyNumberFormat="1" applyFont="1" applyFill="1" applyBorder="1"/>
    <xf numFmtId="0" fontId="14" fillId="2" borderId="43" xfId="0" applyFont="1" applyFill="1" applyBorder="1"/>
    <xf numFmtId="0" fontId="2" fillId="0" borderId="17" xfId="0" applyFont="1" applyBorder="1"/>
    <xf numFmtId="0" fontId="46" fillId="0" borderId="17" xfId="0" applyFont="1" applyBorder="1"/>
    <xf numFmtId="2" fontId="22" fillId="0" borderId="34" xfId="0" applyNumberFormat="1" applyFont="1" applyBorder="1"/>
    <xf numFmtId="0" fontId="2" fillId="2" borderId="44" xfId="0" applyFont="1" applyFill="1" applyBorder="1"/>
    <xf numFmtId="0" fontId="2" fillId="2" borderId="17" xfId="0" applyFont="1" applyFill="1" applyBorder="1"/>
    <xf numFmtId="4" fontId="25" fillId="7" borderId="17" xfId="2" applyNumberFormat="1" applyFont="1" applyFill="1" applyBorder="1"/>
    <xf numFmtId="4" fontId="25" fillId="6" borderId="35" xfId="2" applyNumberFormat="1" applyFont="1" applyBorder="1"/>
    <xf numFmtId="0" fontId="0" fillId="4" borderId="3" xfId="0" applyFill="1" applyBorder="1"/>
    <xf numFmtId="4" fontId="12" fillId="4" borderId="45" xfId="0" applyNumberFormat="1" applyFont="1" applyFill="1" applyBorder="1" applyAlignment="1">
      <alignment horizontal="center" vertical="center"/>
    </xf>
    <xf numFmtId="4" fontId="12" fillId="4" borderId="2" xfId="0" applyNumberFormat="1" applyFont="1" applyFill="1" applyBorder="1" applyAlignment="1">
      <alignment horizontal="center" vertical="center"/>
    </xf>
    <xf numFmtId="165" fontId="4" fillId="4" borderId="45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3">
    <cellStyle name="20 % - Accent1" xfId="2" builtinId="30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7" workbookViewId="0">
      <selection activeCell="R28" sqref="R28"/>
    </sheetView>
  </sheetViews>
  <sheetFormatPr baseColWidth="10" defaultRowHeight="14.4" x14ac:dyDescent="0.3"/>
  <cols>
    <col min="1" max="1" width="17.109375" customWidth="1"/>
    <col min="2" max="2" width="24" bestFit="1" customWidth="1"/>
    <col min="3" max="3" width="1" customWidth="1"/>
    <col min="4" max="4" width="15.5546875" bestFit="1" customWidth="1"/>
    <col min="5" max="5" width="12" customWidth="1"/>
    <col min="6" max="6" width="10.44140625" bestFit="1" customWidth="1"/>
    <col min="7" max="7" width="0.88671875" customWidth="1"/>
    <col min="8" max="8" width="10.33203125" bestFit="1" customWidth="1"/>
    <col min="9" max="9" width="12.6640625" style="10" customWidth="1"/>
    <col min="10" max="10" width="11.44140625" style="10" bestFit="1" customWidth="1"/>
    <col min="11" max="11" width="11.88671875" customWidth="1"/>
    <col min="12" max="12" width="1" customWidth="1"/>
    <col min="13" max="13" width="13.6640625" customWidth="1"/>
  </cols>
  <sheetData>
    <row r="1" spans="1:13" x14ac:dyDescent="0.3">
      <c r="A1" s="2" t="s">
        <v>0</v>
      </c>
      <c r="B1" s="2"/>
      <c r="C1" s="2"/>
      <c r="D1" s="2"/>
      <c r="E1" s="2"/>
      <c r="F1" s="2"/>
      <c r="G1" s="2"/>
      <c r="H1" s="2"/>
      <c r="K1" s="2"/>
      <c r="L1" s="2"/>
      <c r="M1" s="2"/>
    </row>
    <row r="2" spans="1:13" ht="18" x14ac:dyDescent="0.35">
      <c r="A2" s="45" t="s">
        <v>113</v>
      </c>
      <c r="B2" s="2"/>
      <c r="C2" s="2"/>
      <c r="D2" s="44" t="s">
        <v>25</v>
      </c>
      <c r="E2" s="46">
        <v>46053</v>
      </c>
      <c r="F2" s="2"/>
      <c r="G2" s="2"/>
      <c r="H2" s="2"/>
      <c r="K2" s="2"/>
      <c r="L2" s="2"/>
      <c r="M2" s="2"/>
    </row>
    <row r="5" spans="1:13" ht="15" thickBot="1" x14ac:dyDescent="0.35">
      <c r="A5" s="2"/>
      <c r="B5" s="2"/>
      <c r="C5" s="2"/>
      <c r="D5" s="2"/>
      <c r="E5" s="2"/>
      <c r="F5" s="2"/>
      <c r="G5" s="2"/>
      <c r="H5" s="2"/>
      <c r="K5" s="2"/>
      <c r="L5" s="2"/>
      <c r="M5" s="2"/>
    </row>
    <row r="6" spans="1:13" ht="16.2" thickBot="1" x14ac:dyDescent="0.35">
      <c r="A6" s="1"/>
      <c r="B6" s="85"/>
      <c r="C6" s="84"/>
      <c r="D6" s="84"/>
      <c r="E6" s="228"/>
      <c r="F6" s="126" t="s">
        <v>114</v>
      </c>
      <c r="G6" s="102"/>
      <c r="H6" s="17"/>
      <c r="I6" s="17"/>
      <c r="J6" s="18"/>
      <c r="K6" s="19"/>
      <c r="L6" s="2"/>
      <c r="M6" s="7" t="s">
        <v>2</v>
      </c>
    </row>
    <row r="7" spans="1:13" ht="15" thickBot="1" x14ac:dyDescent="0.35">
      <c r="A7" s="86"/>
      <c r="B7" s="106" t="s">
        <v>22</v>
      </c>
      <c r="C7" s="107"/>
      <c r="D7" s="108" t="s">
        <v>18</v>
      </c>
      <c r="E7" s="229" t="s">
        <v>17</v>
      </c>
      <c r="F7" s="94" t="s">
        <v>19</v>
      </c>
      <c r="G7" s="101"/>
      <c r="H7" s="14"/>
      <c r="I7" s="15" t="s">
        <v>4</v>
      </c>
      <c r="J7" s="16"/>
      <c r="K7" s="16" t="s">
        <v>19</v>
      </c>
      <c r="L7" s="2"/>
      <c r="M7" s="8" t="s">
        <v>20</v>
      </c>
    </row>
    <row r="8" spans="1:13" s="10" customFormat="1" ht="15" thickBot="1" x14ac:dyDescent="0.35">
      <c r="A8" s="29"/>
      <c r="B8" s="103"/>
      <c r="C8" s="104"/>
      <c r="D8" s="105"/>
      <c r="E8" s="93"/>
      <c r="F8" s="95"/>
      <c r="G8" s="30"/>
      <c r="H8" s="31" t="s">
        <v>24</v>
      </c>
      <c r="I8" s="32" t="s">
        <v>22</v>
      </c>
      <c r="J8" s="33" t="s">
        <v>23</v>
      </c>
      <c r="K8" s="34"/>
      <c r="M8" s="263"/>
    </row>
    <row r="9" spans="1:13" x14ac:dyDescent="0.3">
      <c r="A9" s="20" t="s">
        <v>5</v>
      </c>
      <c r="B9" s="89">
        <f>'FACTURES NORMALISEES'!I53</f>
        <v>42114.94</v>
      </c>
      <c r="C9" s="27"/>
      <c r="D9" s="89">
        <f>'FACTURES NORMALISEES'!H53</f>
        <v>18739.230000000003</v>
      </c>
      <c r="E9" s="99">
        <f>'FACTURES NORMALISEES'!F53+'FACTURES NORMALISEES'!G53</f>
        <v>5063.3655172413783</v>
      </c>
      <c r="F9" s="96">
        <f>+B9+D9+E9</f>
        <v>65917.535517241384</v>
      </c>
      <c r="G9" s="28"/>
      <c r="H9" s="35">
        <f>'FACTURES SN'!F39</f>
        <v>0</v>
      </c>
      <c r="I9" s="36">
        <f>'FACTURES SN'!G39</f>
        <v>691</v>
      </c>
      <c r="J9" s="38">
        <f>'FACTURES SN'!H39</f>
        <v>10684.2</v>
      </c>
      <c r="K9" s="39">
        <f>+H9+I9+J9</f>
        <v>11375.2</v>
      </c>
      <c r="L9" s="40"/>
      <c r="M9" s="262">
        <f>+F9+K9</f>
        <v>77292.735517241381</v>
      </c>
    </row>
    <row r="10" spans="1:13" x14ac:dyDescent="0.3">
      <c r="A10" s="21" t="s">
        <v>6</v>
      </c>
      <c r="B10" s="90">
        <f>'FACTURES NORMALISEES'!I114</f>
        <v>141888.12999999998</v>
      </c>
      <c r="C10" s="25"/>
      <c r="D10" s="90">
        <f>'FACTURES NORMALISEES'!H114</f>
        <v>21558.18</v>
      </c>
      <c r="E10" s="100">
        <f>'FACTURES NORMALISEES'!F114+'FACTURES NORMALISEES'!G114</f>
        <v>21908.801379310338</v>
      </c>
      <c r="F10" s="96">
        <f>+B10+D10+E10</f>
        <v>185355.11137931031</v>
      </c>
      <c r="G10" s="23"/>
      <c r="H10" s="35">
        <f>'FACTURES SN'!F92</f>
        <v>0</v>
      </c>
      <c r="I10" s="36">
        <f>'FACTURES SN'!G92</f>
        <v>56900</v>
      </c>
      <c r="J10" s="38">
        <f>'FACTURES SN'!H92</f>
        <v>0</v>
      </c>
      <c r="K10" s="39">
        <f>+H10+I10+J10</f>
        <v>56900</v>
      </c>
      <c r="L10" s="40"/>
      <c r="M10" s="261">
        <f t="shared" ref="M10:M20" si="0">+F10+K10</f>
        <v>242255.11137931031</v>
      </c>
    </row>
    <row r="11" spans="1:13" x14ac:dyDescent="0.3">
      <c r="A11" s="21" t="s">
        <v>7</v>
      </c>
      <c r="B11" s="90">
        <f>'FACTURES NORMALISEES'!I191</f>
        <v>233055.08999999997</v>
      </c>
      <c r="C11" s="25"/>
      <c r="D11" s="90">
        <f>'FACTURES NORMALISEES'!E191</f>
        <v>218770.44827586209</v>
      </c>
      <c r="E11" s="100">
        <f>'FACTURES NORMALISEES'!G191</f>
        <v>1670.7213793103444</v>
      </c>
      <c r="F11" s="97">
        <f>'FACTURES NORMALISEES'!H191</f>
        <v>15370.23</v>
      </c>
      <c r="G11" s="23"/>
      <c r="H11" s="35">
        <f>'FACTURES SN'!F93</f>
        <v>0</v>
      </c>
      <c r="I11" s="36">
        <f>'FACTURES SN'!G93</f>
        <v>0</v>
      </c>
      <c r="J11" s="38">
        <f>'FACTURES SN'!H93</f>
        <v>367.5</v>
      </c>
      <c r="K11" s="39">
        <f t="shared" ref="K11:K20" si="1">+H11+I11+J11</f>
        <v>367.5</v>
      </c>
      <c r="L11" s="40"/>
      <c r="M11" s="261">
        <f t="shared" si="0"/>
        <v>15737.73</v>
      </c>
    </row>
    <row r="12" spans="1:13" x14ac:dyDescent="0.3">
      <c r="A12" s="21" t="s">
        <v>8</v>
      </c>
      <c r="B12" s="90">
        <f>'FACTURES NORMALISEES'!I235</f>
        <v>46656.74</v>
      </c>
      <c r="C12" s="25"/>
      <c r="D12" s="90">
        <f>'FACTURES NORMALISEES'!E235</f>
        <v>49355.534482758623</v>
      </c>
      <c r="E12" s="100">
        <f>'FACTURES NORMALISEES'!G235</f>
        <v>1012.3834482758618</v>
      </c>
      <c r="F12" s="97">
        <f>'FACTURES NORMALISEES'!H235</f>
        <v>9847.279999999997</v>
      </c>
      <c r="G12" s="23"/>
      <c r="H12" s="35">
        <f>'FACTURES SN'!F94</f>
        <v>0</v>
      </c>
      <c r="I12" s="36">
        <f>'FACTURES SN'!G94</f>
        <v>0</v>
      </c>
      <c r="J12" s="38">
        <f>'FACTURES SN'!H94</f>
        <v>183.75</v>
      </c>
      <c r="K12" s="39">
        <f t="shared" si="1"/>
        <v>183.75</v>
      </c>
      <c r="L12" s="40"/>
      <c r="M12" s="261">
        <f t="shared" si="0"/>
        <v>10031.029999999997</v>
      </c>
    </row>
    <row r="13" spans="1:13" x14ac:dyDescent="0.3">
      <c r="A13" s="21" t="s">
        <v>9</v>
      </c>
      <c r="B13" s="90">
        <f>'FACTURES NORMALISEES'!I279</f>
        <v>41393.22</v>
      </c>
      <c r="C13" s="25"/>
      <c r="D13" s="90">
        <f>'FACTURES NORMALISEES'!E279</f>
        <v>89471.525862068971</v>
      </c>
      <c r="E13" s="100">
        <f>'FACTURES NORMALISEES'!G279</f>
        <v>8164.724137931029</v>
      </c>
      <c r="F13" s="97">
        <f>'FACTURES NORMALISEES'!H279</f>
        <v>61551.75</v>
      </c>
      <c r="G13" s="23"/>
      <c r="H13" s="35">
        <f>'FACTURES SN'!F95</f>
        <v>0</v>
      </c>
      <c r="I13" s="36">
        <f>'FACTURES SN'!G95</f>
        <v>0</v>
      </c>
      <c r="J13" s="38">
        <f>'FACTURES SN'!H95</f>
        <v>577.5</v>
      </c>
      <c r="K13" s="39">
        <f t="shared" si="1"/>
        <v>577.5</v>
      </c>
      <c r="L13" s="40"/>
      <c r="M13" s="261">
        <f t="shared" si="0"/>
        <v>62129.25</v>
      </c>
    </row>
    <row r="14" spans="1:13" x14ac:dyDescent="0.3">
      <c r="A14" s="21" t="s">
        <v>10</v>
      </c>
      <c r="B14" s="90">
        <f>'FACTURES NORMALISEES'!I339</f>
        <v>0</v>
      </c>
      <c r="C14" s="25"/>
      <c r="D14" s="90">
        <f>'FACTURES NORMALISEES'!E339</f>
        <v>0</v>
      </c>
      <c r="E14" s="100">
        <f>'FACTURES NORMALISEES'!G339</f>
        <v>0</v>
      </c>
      <c r="F14" s="97">
        <f>'FACTURES NORMALISEES'!H339</f>
        <v>0</v>
      </c>
      <c r="G14" s="23"/>
      <c r="H14" s="35">
        <f>'FACTURES SN'!F96</f>
        <v>0</v>
      </c>
      <c r="I14" s="36">
        <f>'FACTURES SN'!G96</f>
        <v>0</v>
      </c>
      <c r="J14" s="38">
        <f>'FACTURES SN'!H96</f>
        <v>288.75</v>
      </c>
      <c r="K14" s="39">
        <f t="shared" si="1"/>
        <v>288.75</v>
      </c>
      <c r="L14" s="40"/>
      <c r="M14" s="261">
        <f t="shared" si="0"/>
        <v>288.75</v>
      </c>
    </row>
    <row r="15" spans="1:13" x14ac:dyDescent="0.3">
      <c r="A15" s="21" t="s">
        <v>11</v>
      </c>
      <c r="B15" s="90">
        <f>'FACTURES NORMALISEES'!I342</f>
        <v>0</v>
      </c>
      <c r="C15" s="25"/>
      <c r="D15" s="90">
        <f>'FACTURES NORMALISEES'!E342</f>
        <v>0</v>
      </c>
      <c r="E15" s="90">
        <f>'FACTURES NORMALISEES'!G342</f>
        <v>0</v>
      </c>
      <c r="F15" s="97">
        <f>'FACTURES NORMALISEES'!H342</f>
        <v>0</v>
      </c>
      <c r="G15" s="23"/>
      <c r="H15" s="35">
        <f>'FACTURES SN'!F97</f>
        <v>0</v>
      </c>
      <c r="I15" s="36">
        <f>'FACTURES SN'!G97</f>
        <v>0</v>
      </c>
      <c r="J15" s="38">
        <f>'FACTURES SN'!H97</f>
        <v>420</v>
      </c>
      <c r="K15" s="39">
        <f t="shared" si="1"/>
        <v>420</v>
      </c>
      <c r="L15" s="40"/>
      <c r="M15" s="261">
        <f t="shared" si="0"/>
        <v>420</v>
      </c>
    </row>
    <row r="16" spans="1:13" x14ac:dyDescent="0.3">
      <c r="A16" s="21" t="s">
        <v>12</v>
      </c>
      <c r="B16" s="90">
        <f>'FACTURES NORMALISEES'!I345</f>
        <v>0</v>
      </c>
      <c r="C16" s="25"/>
      <c r="D16" s="90">
        <f>'FACTURES NORMALISEES'!E345</f>
        <v>0</v>
      </c>
      <c r="E16" s="90">
        <f>'FACTURES NORMALISEES'!G345</f>
        <v>0</v>
      </c>
      <c r="F16" s="97">
        <f>'FACTURES NORMALISEES'!H345</f>
        <v>0</v>
      </c>
      <c r="G16" s="23"/>
      <c r="H16" s="35">
        <f>'FACTURES SN'!F98</f>
        <v>0</v>
      </c>
      <c r="I16" s="36">
        <f>'FACTURES SN'!G98</f>
        <v>0</v>
      </c>
      <c r="J16" s="38">
        <f>'FACTURES SN'!H98</f>
        <v>420</v>
      </c>
      <c r="K16" s="39">
        <f t="shared" si="1"/>
        <v>420</v>
      </c>
      <c r="L16" s="40"/>
      <c r="M16" s="261">
        <f t="shared" si="0"/>
        <v>420</v>
      </c>
    </row>
    <row r="17" spans="1:13" x14ac:dyDescent="0.3">
      <c r="A17" s="21" t="s">
        <v>13</v>
      </c>
      <c r="B17" s="90">
        <f>'FACTURES NORMALISEES'!I348</f>
        <v>0</v>
      </c>
      <c r="C17" s="25"/>
      <c r="D17" s="90">
        <f>'FACTURES NORMALISEES'!E348</f>
        <v>0</v>
      </c>
      <c r="E17" s="90">
        <f>'FACTURES NORMALISEES'!G348</f>
        <v>0</v>
      </c>
      <c r="F17" s="97">
        <f>'FACTURES NORMALISEES'!H348</f>
        <v>0</v>
      </c>
      <c r="G17" s="23"/>
      <c r="H17" s="35">
        <f>'FACTURES SN'!F99</f>
        <v>0</v>
      </c>
      <c r="I17" s="36">
        <f>'FACTURES SN'!G99</f>
        <v>6562.5</v>
      </c>
      <c r="J17" s="38">
        <f>'FACTURES SN'!H99</f>
        <v>0</v>
      </c>
      <c r="K17" s="39">
        <f t="shared" si="1"/>
        <v>6562.5</v>
      </c>
      <c r="L17" s="40"/>
      <c r="M17" s="261">
        <f t="shared" si="0"/>
        <v>6562.5</v>
      </c>
    </row>
    <row r="18" spans="1:13" x14ac:dyDescent="0.3">
      <c r="A18" s="21" t="s">
        <v>14</v>
      </c>
      <c r="B18" s="90">
        <f>'FACTURES NORMALISEES'!I351</f>
        <v>0</v>
      </c>
      <c r="C18" s="25"/>
      <c r="D18" s="90">
        <f>'FACTURES NORMALISEES'!E351</f>
        <v>0</v>
      </c>
      <c r="E18" s="90">
        <f>'FACTURES NORMALISEES'!G351</f>
        <v>0</v>
      </c>
      <c r="F18" s="97">
        <f>'FACTURES NORMALISEES'!H351</f>
        <v>0</v>
      </c>
      <c r="G18" s="23"/>
      <c r="H18" s="35">
        <f>'FACTURES SN'!F100</f>
        <v>0</v>
      </c>
      <c r="I18" s="36">
        <f>'FACTURES SN'!G100</f>
        <v>0</v>
      </c>
      <c r="J18" s="38">
        <f>'FACTURES SN'!H100</f>
        <v>400</v>
      </c>
      <c r="K18" s="39">
        <f t="shared" si="1"/>
        <v>400</v>
      </c>
      <c r="L18" s="40"/>
      <c r="M18" s="261">
        <f t="shared" si="0"/>
        <v>400</v>
      </c>
    </row>
    <row r="19" spans="1:13" x14ac:dyDescent="0.3">
      <c r="A19" s="21" t="s">
        <v>15</v>
      </c>
      <c r="B19" s="90">
        <f>'FACTURES NORMALISEES'!I354</f>
        <v>0</v>
      </c>
      <c r="C19" s="25"/>
      <c r="D19" s="90">
        <f>'FACTURES NORMALISEES'!E354</f>
        <v>0</v>
      </c>
      <c r="E19" s="90">
        <f>'FACTURES NORMALISEES'!G354</f>
        <v>0</v>
      </c>
      <c r="F19" s="97">
        <f>'FACTURES NORMALISEES'!H354</f>
        <v>0</v>
      </c>
      <c r="G19" s="23"/>
      <c r="H19" s="35">
        <f>'FACTURES SN'!F101</f>
        <v>0</v>
      </c>
      <c r="I19" s="36">
        <f>'FACTURES SN'!G101</f>
        <v>0</v>
      </c>
      <c r="J19" s="38">
        <f>'FACTURES SN'!H101</f>
        <v>400</v>
      </c>
      <c r="K19" s="39">
        <f t="shared" si="1"/>
        <v>400</v>
      </c>
      <c r="L19" s="40"/>
      <c r="M19" s="261">
        <f t="shared" si="0"/>
        <v>400</v>
      </c>
    </row>
    <row r="20" spans="1:13" ht="15" thickBot="1" x14ac:dyDescent="0.35">
      <c r="A20" s="22" t="s">
        <v>16</v>
      </c>
      <c r="B20" s="91">
        <f>'FACTURES NORMALISEES'!I357</f>
        <v>0</v>
      </c>
      <c r="C20" s="26"/>
      <c r="D20" s="91">
        <f>'FACTURES NORMALISEES'!E357</f>
        <v>0</v>
      </c>
      <c r="E20" s="91">
        <f>'FACTURES NORMALISEES'!G357</f>
        <v>0</v>
      </c>
      <c r="F20" s="98">
        <f>'FACTURES NORMALISEES'!H357</f>
        <v>0</v>
      </c>
      <c r="G20" s="24"/>
      <c r="H20" s="35">
        <f>'FACTURES SN'!F102</f>
        <v>0</v>
      </c>
      <c r="I20" s="36">
        <f>'FACTURES SN'!G102</f>
        <v>0</v>
      </c>
      <c r="J20" s="38">
        <f>'FACTURES SN'!H102</f>
        <v>600</v>
      </c>
      <c r="K20" s="39">
        <f t="shared" si="1"/>
        <v>600</v>
      </c>
      <c r="L20" s="40"/>
      <c r="M20" s="261">
        <f t="shared" si="0"/>
        <v>600</v>
      </c>
    </row>
    <row r="21" spans="1:13" ht="15" thickBot="1" x14ac:dyDescent="0.35">
      <c r="A21" s="4"/>
      <c r="B21" s="43">
        <f>SUM(B9:B20)</f>
        <v>505108.11999999988</v>
      </c>
      <c r="C21" s="5"/>
      <c r="D21" s="92">
        <f t="shared" ref="D21" si="2">SUM(D9:D20)</f>
        <v>397894.91862068971</v>
      </c>
      <c r="E21" s="88">
        <f t="shared" ref="E21" si="3">SUM(E9:E20)</f>
        <v>37819.99586206895</v>
      </c>
      <c r="F21" s="37">
        <f t="shared" ref="F21" si="4">SUM(F9:F20)</f>
        <v>338041.90689655166</v>
      </c>
      <c r="G21" s="3"/>
      <c r="H21" s="43">
        <f t="shared" ref="H21:J21" si="5">SUM(H9:H20)</f>
        <v>0</v>
      </c>
      <c r="I21" s="43">
        <f t="shared" si="5"/>
        <v>64153.5</v>
      </c>
      <c r="J21" s="43">
        <f t="shared" si="5"/>
        <v>14341.7</v>
      </c>
      <c r="K21" s="41">
        <f t="shared" ref="K21" si="6">SUM(K9:K20)</f>
        <v>78495.199999999997</v>
      </c>
      <c r="L21" s="40"/>
      <c r="M21" s="42">
        <f>SUM(M9:M20)</f>
        <v>416537.10689655162</v>
      </c>
    </row>
    <row r="23" spans="1:13" s="10" customFormat="1" ht="15" thickBot="1" x14ac:dyDescent="0.35"/>
    <row r="24" spans="1:13" s="10" customFormat="1" ht="15" thickBot="1" x14ac:dyDescent="0.35">
      <c r="D24" s="264"/>
      <c r="E24" s="265"/>
      <c r="F24" s="265"/>
      <c r="G24" s="265"/>
      <c r="H24" s="265"/>
      <c r="I24" s="266" t="s">
        <v>35</v>
      </c>
      <c r="J24" s="267" t="s">
        <v>38</v>
      </c>
      <c r="K24" s="265"/>
      <c r="L24" s="265"/>
      <c r="M24" s="268" t="s">
        <v>37</v>
      </c>
    </row>
    <row r="25" spans="1:13" x14ac:dyDescent="0.3">
      <c r="A25" s="6"/>
      <c r="B25" s="2"/>
      <c r="C25" s="2"/>
      <c r="D25" s="2"/>
      <c r="E25" s="2"/>
      <c r="F25" s="2"/>
      <c r="G25" s="2"/>
      <c r="H25" s="2"/>
      <c r="K25" s="2"/>
      <c r="L25" s="2"/>
      <c r="M25" s="2"/>
    </row>
    <row r="26" spans="1:13" ht="15.6" x14ac:dyDescent="0.3">
      <c r="A26" s="67"/>
      <c r="B26" s="67"/>
      <c r="C26" s="67"/>
      <c r="D26" s="223" t="s">
        <v>3</v>
      </c>
      <c r="E26" s="224"/>
      <c r="F26" s="224"/>
      <c r="G26" s="224"/>
      <c r="H26" s="224"/>
      <c r="I26" s="246">
        <f>B21</f>
        <v>505108.11999999988</v>
      </c>
      <c r="J26" s="244" t="e">
        <f>'FACTURES NORMALISEES'!#REF!</f>
        <v>#REF!</v>
      </c>
      <c r="K26" s="224"/>
      <c r="L26" s="224"/>
      <c r="M26" s="225" t="e">
        <f>I26-J26</f>
        <v>#REF!</v>
      </c>
    </row>
    <row r="27" spans="1:13" ht="15.6" x14ac:dyDescent="0.3">
      <c r="A27" s="67"/>
      <c r="B27" s="65"/>
      <c r="C27" s="65"/>
      <c r="D27" s="223" t="s">
        <v>18</v>
      </c>
      <c r="E27" s="226"/>
      <c r="F27" s="226"/>
      <c r="G27" s="226"/>
      <c r="H27" s="226"/>
      <c r="I27" s="246">
        <f>D21</f>
        <v>397894.91862068971</v>
      </c>
      <c r="J27" s="244" t="e">
        <f>'FACTURES NORMALISEES'!#REF!</f>
        <v>#REF!</v>
      </c>
      <c r="K27" s="226"/>
      <c r="L27" s="226"/>
      <c r="M27" s="225" t="e">
        <f>I27-J27</f>
        <v>#REF!</v>
      </c>
    </row>
    <row r="28" spans="1:13" s="10" customFormat="1" ht="15.6" x14ac:dyDescent="0.3">
      <c r="A28" s="67"/>
      <c r="B28" s="65"/>
      <c r="C28" s="65"/>
      <c r="D28" s="109" t="s">
        <v>17</v>
      </c>
      <c r="E28" s="111"/>
      <c r="F28" s="111"/>
      <c r="G28" s="111"/>
      <c r="H28" s="111"/>
      <c r="I28" s="250">
        <f>E21</f>
        <v>37819.99586206895</v>
      </c>
      <c r="J28" s="251"/>
      <c r="K28" s="111"/>
      <c r="L28" s="111"/>
      <c r="M28" s="110"/>
    </row>
    <row r="29" spans="1:13" s="10" customFormat="1" ht="16.2" thickBot="1" x14ac:dyDescent="0.35">
      <c r="A29" s="67"/>
      <c r="B29" s="65"/>
      <c r="C29" s="65"/>
      <c r="D29" s="240" t="s">
        <v>115</v>
      </c>
      <c r="E29" s="241"/>
      <c r="F29" s="241"/>
      <c r="G29" s="241"/>
      <c r="H29" s="241"/>
      <c r="I29" s="252">
        <f>SUM(I26:I28)</f>
        <v>940823.03448275861</v>
      </c>
      <c r="J29" s="253" t="e">
        <f>SUM(J26:J28)</f>
        <v>#REF!</v>
      </c>
      <c r="K29" s="241"/>
      <c r="L29" s="241"/>
      <c r="M29" s="254" t="e">
        <f>SUM(M26:M28)</f>
        <v>#REF!</v>
      </c>
    </row>
    <row r="30" spans="1:13" s="10" customFormat="1" ht="16.2" thickTop="1" x14ac:dyDescent="0.3">
      <c r="A30" s="67"/>
      <c r="B30" s="65"/>
      <c r="C30" s="65"/>
      <c r="D30" s="69"/>
      <c r="E30" s="65"/>
      <c r="F30" s="65"/>
      <c r="G30" s="65"/>
      <c r="H30" s="65"/>
      <c r="I30" s="247"/>
      <c r="J30" s="245"/>
      <c r="K30" s="65"/>
      <c r="L30" s="65"/>
      <c r="M30" s="68"/>
    </row>
    <row r="31" spans="1:13" s="243" customFormat="1" ht="16.2" thickBot="1" x14ac:dyDescent="0.35">
      <c r="A31" s="239"/>
      <c r="B31" s="227"/>
      <c r="C31" s="227"/>
      <c r="D31" s="240" t="s">
        <v>4</v>
      </c>
      <c r="E31" s="241"/>
      <c r="F31" s="241"/>
      <c r="G31" s="241"/>
      <c r="H31" s="241"/>
      <c r="I31" s="248">
        <f>K21</f>
        <v>78495.199999999997</v>
      </c>
      <c r="J31" s="249">
        <f>'FACTURES SN'!J263</f>
        <v>18449.999999999996</v>
      </c>
      <c r="K31" s="241"/>
      <c r="L31" s="241"/>
      <c r="M31" s="242">
        <f>+I31-J31</f>
        <v>60045.2</v>
      </c>
    </row>
    <row r="32" spans="1:13" ht="15.6" thickTop="1" thickBot="1" x14ac:dyDescent="0.35"/>
    <row r="33" spans="4:13" ht="16.2" thickBot="1" x14ac:dyDescent="0.35">
      <c r="D33" s="255" t="s">
        <v>36</v>
      </c>
      <c r="E33" s="256"/>
      <c r="F33" s="256"/>
      <c r="G33" s="256"/>
      <c r="H33" s="257"/>
      <c r="I33" s="258">
        <f>+I29+I31</f>
        <v>1019318.2344827586</v>
      </c>
      <c r="J33" s="258" t="e">
        <f>+J29+J31</f>
        <v>#REF!</v>
      </c>
      <c r="K33" s="259"/>
      <c r="L33" s="259"/>
      <c r="M33" s="260" t="e">
        <f>+M29+M31</f>
        <v>#REF!</v>
      </c>
    </row>
  </sheetData>
  <pageMargins left="0.82677165354330717" right="0.43307086614173229" top="0.74803149606299213" bottom="0.74803149606299213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33"/>
  <sheetViews>
    <sheetView workbookViewId="0">
      <pane xSplit="6" ySplit="4" topLeftCell="J176" activePane="bottomRight" state="frozen"/>
      <selection pane="topRight" activeCell="J1" sqref="J1"/>
      <selection pane="bottomLeft" activeCell="A5" sqref="A5"/>
      <selection pane="bottomRight" activeCell="N184" sqref="N184"/>
    </sheetView>
  </sheetViews>
  <sheetFormatPr baseColWidth="10" defaultColWidth="11.44140625" defaultRowHeight="14.4" x14ac:dyDescent="0.3"/>
  <cols>
    <col min="1" max="1" width="8.5546875" style="10" customWidth="1"/>
    <col min="2" max="2" width="48.77734375" style="10" bestFit="1" customWidth="1"/>
    <col min="3" max="3" width="17.21875" style="200" bestFit="1" customWidth="1"/>
    <col min="4" max="4" width="25.6640625" style="10" bestFit="1" customWidth="1"/>
    <col min="5" max="5" width="14.77734375" style="143" customWidth="1"/>
    <col min="6" max="6" width="13.6640625" style="10" customWidth="1"/>
    <col min="7" max="7" width="11.5546875" style="10" customWidth="1"/>
    <col min="8" max="8" width="13.33203125" style="10" bestFit="1" customWidth="1"/>
    <col min="9" max="9" width="14.44140625" style="10" bestFit="1" customWidth="1"/>
    <col min="10" max="10" width="12.33203125" style="40" customWidth="1"/>
    <col min="11" max="11" width="11.21875" style="40" customWidth="1"/>
    <col min="12" max="12" width="1.44140625" style="10" customWidth="1"/>
    <col min="13" max="13" width="2.33203125" style="10" customWidth="1"/>
    <col min="14" max="14" width="14.109375" style="40" bestFit="1" customWidth="1"/>
    <col min="15" max="15" width="14.88671875" style="40" bestFit="1" customWidth="1"/>
    <col min="16" max="16" width="13.77734375" style="40" bestFit="1" customWidth="1"/>
    <col min="17" max="16384" width="11.44140625" style="10"/>
  </cols>
  <sheetData>
    <row r="1" spans="1:16" x14ac:dyDescent="0.3">
      <c r="A1" s="9" t="s">
        <v>26</v>
      </c>
      <c r="B1" s="9"/>
      <c r="C1" s="9"/>
    </row>
    <row r="2" spans="1:16" ht="21.6" thickBot="1" x14ac:dyDescent="0.45">
      <c r="A2" s="72" t="s">
        <v>202</v>
      </c>
      <c r="B2" s="72"/>
      <c r="C2" s="460"/>
    </row>
    <row r="3" spans="1:16" ht="16.2" thickBot="1" x14ac:dyDescent="0.35">
      <c r="A3" s="1"/>
      <c r="B3" s="221"/>
      <c r="C3" s="461"/>
      <c r="D3" s="17"/>
      <c r="E3" s="140" t="s">
        <v>205</v>
      </c>
      <c r="F3" s="19"/>
      <c r="G3" s="134" t="s">
        <v>195</v>
      </c>
      <c r="H3" s="19"/>
      <c r="I3" s="476" t="s">
        <v>203</v>
      </c>
      <c r="J3" s="504" t="s">
        <v>194</v>
      </c>
      <c r="K3" s="505"/>
      <c r="L3" s="184"/>
      <c r="N3" s="269" t="s">
        <v>270</v>
      </c>
      <c r="O3" s="269" t="s">
        <v>271</v>
      </c>
      <c r="P3" s="269" t="s">
        <v>269</v>
      </c>
    </row>
    <row r="4" spans="1:16" ht="16.2" thickBot="1" x14ac:dyDescent="0.35">
      <c r="A4" s="336"/>
      <c r="B4" s="29"/>
      <c r="C4" s="313" t="s">
        <v>111</v>
      </c>
      <c r="D4" s="279" t="s">
        <v>112</v>
      </c>
      <c r="E4" s="212" t="s">
        <v>18</v>
      </c>
      <c r="F4" s="290" t="s">
        <v>22</v>
      </c>
      <c r="G4" s="293" t="s">
        <v>23</v>
      </c>
      <c r="H4" s="294" t="s">
        <v>22</v>
      </c>
      <c r="I4" s="322" t="s">
        <v>204</v>
      </c>
      <c r="J4" s="506" t="s">
        <v>138</v>
      </c>
      <c r="K4" s="507" t="s">
        <v>139</v>
      </c>
      <c r="L4" s="498"/>
    </row>
    <row r="5" spans="1:16" x14ac:dyDescent="0.3">
      <c r="A5" s="210"/>
      <c r="B5" s="86"/>
      <c r="C5" s="314"/>
      <c r="D5" s="280"/>
      <c r="E5" s="213"/>
      <c r="F5" s="291"/>
      <c r="G5" s="295"/>
      <c r="H5" s="296"/>
      <c r="I5" s="323"/>
      <c r="J5" s="508"/>
      <c r="K5" s="509"/>
      <c r="L5" s="187"/>
    </row>
    <row r="6" spans="1:16" ht="15.6" x14ac:dyDescent="0.3">
      <c r="A6" s="130"/>
      <c r="B6" s="317" t="s">
        <v>230</v>
      </c>
      <c r="C6" s="462" t="s">
        <v>40</v>
      </c>
      <c r="D6" s="281" t="s">
        <v>58</v>
      </c>
      <c r="E6" s="142">
        <f>'FACTURES NORMALISEES'!E6</f>
        <v>200</v>
      </c>
      <c r="F6" s="292"/>
      <c r="G6" s="297">
        <v>232</v>
      </c>
      <c r="H6" s="298"/>
      <c r="I6" s="324"/>
      <c r="J6" s="510">
        <f>G6-E6</f>
        <v>32</v>
      </c>
      <c r="K6" s="511">
        <v>32</v>
      </c>
      <c r="L6" s="187"/>
      <c r="N6" s="40">
        <v>68452.570000000007</v>
      </c>
      <c r="O6" s="40">
        <v>427828.59</v>
      </c>
    </row>
    <row r="7" spans="1:16" ht="15.6" x14ac:dyDescent="0.3">
      <c r="A7" s="130"/>
      <c r="B7" s="318" t="s">
        <v>231</v>
      </c>
      <c r="C7" s="462" t="s">
        <v>41</v>
      </c>
      <c r="D7" s="281" t="s">
        <v>74</v>
      </c>
      <c r="E7" s="142">
        <f>'FACTURES NORMALISEES'!E7</f>
        <v>700</v>
      </c>
      <c r="F7" s="292"/>
      <c r="G7" s="299"/>
      <c r="H7" s="300"/>
      <c r="I7" s="324">
        <v>700</v>
      </c>
      <c r="J7" s="139"/>
      <c r="K7" s="511"/>
      <c r="L7" s="187"/>
      <c r="P7" s="40">
        <v>1497380</v>
      </c>
    </row>
    <row r="8" spans="1:16" ht="15.6" x14ac:dyDescent="0.3">
      <c r="A8" s="130"/>
      <c r="B8" s="318" t="s">
        <v>232</v>
      </c>
      <c r="C8" s="462" t="s">
        <v>42</v>
      </c>
      <c r="D8" s="281" t="s">
        <v>75</v>
      </c>
      <c r="E8" s="142">
        <f>'FACTURES NORMALISEES'!E8</f>
        <v>750</v>
      </c>
      <c r="F8" s="292"/>
      <c r="G8" s="299"/>
      <c r="H8" s="300"/>
      <c r="I8" s="324">
        <v>750</v>
      </c>
      <c r="J8" s="139"/>
      <c r="K8" s="511"/>
      <c r="L8" s="187"/>
      <c r="P8" s="40">
        <v>1604346</v>
      </c>
    </row>
    <row r="9" spans="1:16" ht="15.6" x14ac:dyDescent="0.3">
      <c r="A9" s="130"/>
      <c r="B9" s="318" t="s">
        <v>233</v>
      </c>
      <c r="C9" s="462" t="s">
        <v>43</v>
      </c>
      <c r="D9" s="281" t="s">
        <v>76</v>
      </c>
      <c r="E9" s="142">
        <f>'FACTURES NORMALISEES'!E9</f>
        <v>150</v>
      </c>
      <c r="F9" s="292"/>
      <c r="G9" s="299"/>
      <c r="H9" s="300"/>
      <c r="I9" s="324">
        <v>150</v>
      </c>
      <c r="J9" s="139"/>
      <c r="K9" s="511"/>
      <c r="L9" s="187"/>
      <c r="P9" s="40">
        <v>320868.32</v>
      </c>
    </row>
    <row r="10" spans="1:16" ht="15.6" x14ac:dyDescent="0.3">
      <c r="A10" s="130"/>
      <c r="B10" s="317" t="s">
        <v>234</v>
      </c>
      <c r="C10" s="462" t="s">
        <v>44</v>
      </c>
      <c r="D10" s="281" t="s">
        <v>67</v>
      </c>
      <c r="E10" s="142">
        <f>'FACTURES NORMALISEES'!E10</f>
        <v>400</v>
      </c>
      <c r="F10" s="292"/>
      <c r="G10" s="297"/>
      <c r="H10" s="298"/>
      <c r="I10" s="324">
        <v>400</v>
      </c>
      <c r="J10" s="139"/>
      <c r="K10" s="511"/>
      <c r="L10" s="187"/>
      <c r="P10" s="40">
        <v>855651.52</v>
      </c>
    </row>
    <row r="11" spans="1:16" ht="15.6" x14ac:dyDescent="0.3">
      <c r="A11" s="130"/>
      <c r="B11" s="317" t="s">
        <v>235</v>
      </c>
      <c r="C11" s="462" t="s">
        <v>45</v>
      </c>
      <c r="D11" s="281" t="s">
        <v>65</v>
      </c>
      <c r="E11" s="142">
        <f>'FACTURES NORMALISEES'!E11</f>
        <v>172.80172413793105</v>
      </c>
      <c r="F11" s="292"/>
      <c r="G11" s="297">
        <v>200.45</v>
      </c>
      <c r="H11" s="298"/>
      <c r="I11" s="324"/>
      <c r="J11" s="138">
        <f>G11-E11</f>
        <v>27.648275862068942</v>
      </c>
      <c r="K11" s="511">
        <v>27.65</v>
      </c>
      <c r="L11" s="187"/>
      <c r="N11" s="40">
        <v>60467.9</v>
      </c>
      <c r="O11" s="40">
        <v>377924.35</v>
      </c>
    </row>
    <row r="12" spans="1:16" ht="15.6" x14ac:dyDescent="0.3">
      <c r="A12" s="130"/>
      <c r="B12" s="317" t="s">
        <v>236</v>
      </c>
      <c r="C12" s="462" t="s">
        <v>46</v>
      </c>
      <c r="D12" s="281" t="s">
        <v>61</v>
      </c>
      <c r="E12" s="142">
        <f>'FACTURES NORMALISEES'!E12</f>
        <v>120</v>
      </c>
      <c r="F12" s="292"/>
      <c r="G12" s="297">
        <v>139.19999999999999</v>
      </c>
      <c r="H12" s="298"/>
      <c r="I12" s="324"/>
      <c r="J12" s="138">
        <f t="shared" ref="J12:J14" si="0">G12-E12</f>
        <v>19.199999999999989</v>
      </c>
      <c r="K12" s="511">
        <v>19.2</v>
      </c>
      <c r="L12" s="187"/>
      <c r="N12" s="40">
        <v>41991.18</v>
      </c>
      <c r="O12" s="40">
        <v>262444.84000000003</v>
      </c>
    </row>
    <row r="13" spans="1:16" ht="15.6" x14ac:dyDescent="0.3">
      <c r="A13" s="130"/>
      <c r="B13" s="317" t="s">
        <v>237</v>
      </c>
      <c r="C13" s="462" t="s">
        <v>47</v>
      </c>
      <c r="D13" s="281" t="s">
        <v>77</v>
      </c>
      <c r="E13" s="142">
        <f>'FACTURES NORMALISEES'!E13</f>
        <v>166.25</v>
      </c>
      <c r="F13" s="292"/>
      <c r="G13" s="299"/>
      <c r="H13" s="298"/>
      <c r="I13" s="324"/>
      <c r="J13" s="138"/>
      <c r="K13" s="511"/>
      <c r="L13" s="187"/>
    </row>
    <row r="14" spans="1:16" ht="15.6" x14ac:dyDescent="0.3">
      <c r="A14" s="130"/>
      <c r="B14" s="317" t="s">
        <v>238</v>
      </c>
      <c r="C14" s="462" t="s">
        <v>48</v>
      </c>
      <c r="D14" s="281" t="s">
        <v>68</v>
      </c>
      <c r="E14" s="142">
        <f>'FACTURES NORMALISEES'!E14</f>
        <v>183</v>
      </c>
      <c r="F14" s="292"/>
      <c r="G14" s="297">
        <v>212.28</v>
      </c>
      <c r="H14" s="298"/>
      <c r="I14" s="324"/>
      <c r="J14" s="138">
        <f t="shared" si="0"/>
        <v>29.28</v>
      </c>
      <c r="K14" s="511">
        <v>29.28</v>
      </c>
      <c r="L14" s="187"/>
      <c r="N14" s="40">
        <v>64036.54</v>
      </c>
      <c r="O14" s="40">
        <v>400228.4</v>
      </c>
    </row>
    <row r="15" spans="1:16" ht="15.6" x14ac:dyDescent="0.3">
      <c r="A15" s="130"/>
      <c r="B15" s="317" t="s">
        <v>239</v>
      </c>
      <c r="C15" s="462" t="s">
        <v>49</v>
      </c>
      <c r="D15" s="281" t="s">
        <v>78</v>
      </c>
      <c r="E15" s="142">
        <f>'FACTURES NORMALISEES'!E15</f>
        <v>180.00000000000003</v>
      </c>
      <c r="F15" s="292"/>
      <c r="G15" s="297">
        <v>208.8</v>
      </c>
      <c r="H15" s="298"/>
      <c r="I15" s="324"/>
      <c r="J15" s="138">
        <v>28.8</v>
      </c>
      <c r="K15" s="511">
        <v>28.8</v>
      </c>
      <c r="L15" s="187"/>
      <c r="N15" s="40">
        <v>62986.76</v>
      </c>
      <c r="O15" s="40">
        <v>393667.28</v>
      </c>
    </row>
    <row r="16" spans="1:16" ht="15.6" x14ac:dyDescent="0.3">
      <c r="A16" s="130"/>
      <c r="B16" s="317" t="s">
        <v>240</v>
      </c>
      <c r="C16" s="462" t="s">
        <v>50</v>
      </c>
      <c r="D16" s="281" t="s">
        <v>56</v>
      </c>
      <c r="E16" s="142">
        <f>'FACTURES NORMALISEES'!E16</f>
        <v>500</v>
      </c>
      <c r="F16" s="292"/>
      <c r="G16" s="297">
        <v>500</v>
      </c>
      <c r="H16" s="298"/>
      <c r="I16" s="324">
        <v>500</v>
      </c>
      <c r="J16" s="138"/>
      <c r="K16" s="511"/>
      <c r="L16" s="187"/>
      <c r="P16" s="40">
        <v>1093520.2</v>
      </c>
    </row>
    <row r="17" spans="1:16" ht="15.6" x14ac:dyDescent="0.3">
      <c r="A17" s="130"/>
      <c r="B17" s="317" t="s">
        <v>241</v>
      </c>
      <c r="C17" s="462" t="s">
        <v>51</v>
      </c>
      <c r="D17" s="281" t="s">
        <v>71</v>
      </c>
      <c r="E17" s="142">
        <f>'FACTURES NORMALISEES'!E17</f>
        <v>183</v>
      </c>
      <c r="F17" s="292"/>
      <c r="G17" s="297">
        <v>212.28</v>
      </c>
      <c r="H17" s="298"/>
      <c r="I17" s="324"/>
      <c r="J17" s="138">
        <f>G17-E17</f>
        <v>29.28</v>
      </c>
      <c r="K17" s="511">
        <v>29.28</v>
      </c>
      <c r="L17" s="187"/>
      <c r="N17" s="40">
        <v>64036.54</v>
      </c>
      <c r="O17" s="40">
        <v>400228.4</v>
      </c>
    </row>
    <row r="18" spans="1:16" ht="15.6" x14ac:dyDescent="0.3">
      <c r="A18" s="130"/>
      <c r="B18" s="317" t="s">
        <v>242</v>
      </c>
      <c r="C18" s="462" t="s">
        <v>39</v>
      </c>
      <c r="D18" s="281" t="s">
        <v>57</v>
      </c>
      <c r="E18" s="142">
        <f>'FACTURES NORMALISEES'!E18</f>
        <v>200</v>
      </c>
      <c r="F18" s="292"/>
      <c r="G18" s="297">
        <v>232</v>
      </c>
      <c r="H18" s="301"/>
      <c r="I18" s="324"/>
      <c r="J18" s="138">
        <f>G18-E18</f>
        <v>32</v>
      </c>
      <c r="K18" s="512">
        <v>32</v>
      </c>
      <c r="L18" s="187"/>
      <c r="N18" s="40">
        <v>69985.289999999994</v>
      </c>
      <c r="O18" s="40">
        <v>437408.08</v>
      </c>
    </row>
    <row r="19" spans="1:16" ht="15.6" x14ac:dyDescent="0.3">
      <c r="A19" s="130"/>
      <c r="B19" s="21" t="s">
        <v>245</v>
      </c>
      <c r="C19" s="462" t="s">
        <v>100</v>
      </c>
      <c r="D19" s="281" t="s">
        <v>99</v>
      </c>
      <c r="E19" s="142">
        <f>'FACTURES NORMALISEES'!E28</f>
        <v>1327.5000000000002</v>
      </c>
      <c r="F19" s="292"/>
      <c r="G19" s="297">
        <v>212.4</v>
      </c>
      <c r="H19" s="301"/>
      <c r="I19" s="324"/>
      <c r="J19" s="138">
        <v>212.4</v>
      </c>
      <c r="K19" s="512">
        <v>212.4</v>
      </c>
      <c r="L19" s="187"/>
      <c r="N19" s="40">
        <v>467213.24</v>
      </c>
      <c r="O19" s="40">
        <v>2920082.77</v>
      </c>
    </row>
    <row r="20" spans="1:16" ht="15.6" x14ac:dyDescent="0.3">
      <c r="A20" s="130"/>
      <c r="B20" s="21" t="s">
        <v>200</v>
      </c>
      <c r="C20" s="463" t="s">
        <v>109</v>
      </c>
      <c r="D20" s="281" t="s">
        <v>106</v>
      </c>
      <c r="E20" s="142"/>
      <c r="F20" s="292">
        <f>'FACTURES NORMALISEES'!E31</f>
        <v>13000</v>
      </c>
      <c r="G20" s="299"/>
      <c r="H20" s="300"/>
      <c r="I20" s="324">
        <v>13000</v>
      </c>
      <c r="J20" s="138"/>
      <c r="K20" s="511"/>
      <c r="L20" s="187"/>
      <c r="P20" s="40">
        <v>29077912.5</v>
      </c>
    </row>
    <row r="21" spans="1:16" ht="15.6" x14ac:dyDescent="0.3">
      <c r="A21" s="130"/>
      <c r="B21" s="21" t="s">
        <v>240</v>
      </c>
      <c r="C21" s="463" t="s">
        <v>128</v>
      </c>
      <c r="D21" s="281" t="s">
        <v>108</v>
      </c>
      <c r="E21" s="142"/>
      <c r="F21" s="292">
        <f>'FACTURES NORMALISEES'!E33</f>
        <v>2940</v>
      </c>
      <c r="G21" s="299"/>
      <c r="H21" s="300"/>
      <c r="I21" s="324">
        <v>2940</v>
      </c>
      <c r="J21" s="138"/>
      <c r="K21" s="511"/>
      <c r="L21" s="187"/>
      <c r="P21" s="40">
        <v>6576081.75</v>
      </c>
    </row>
    <row r="22" spans="1:16" ht="15.6" x14ac:dyDescent="0.3">
      <c r="A22" s="130"/>
      <c r="B22" s="21" t="s">
        <v>231</v>
      </c>
      <c r="C22" s="462" t="s">
        <v>132</v>
      </c>
      <c r="D22" s="281" t="s">
        <v>121</v>
      </c>
      <c r="E22" s="142">
        <f>'FACTURES NORMALISEES'!E36</f>
        <v>4000</v>
      </c>
      <c r="F22" s="292"/>
      <c r="G22" s="297">
        <v>4000</v>
      </c>
      <c r="H22" s="298"/>
      <c r="I22" s="324">
        <v>4000</v>
      </c>
      <c r="J22" s="138"/>
      <c r="K22" s="511"/>
      <c r="L22" s="187"/>
      <c r="P22" s="40">
        <v>8947050</v>
      </c>
    </row>
    <row r="23" spans="1:16" ht="15.6" x14ac:dyDescent="0.3">
      <c r="A23" s="130"/>
      <c r="B23" s="317" t="s">
        <v>243</v>
      </c>
      <c r="C23" s="462" t="s">
        <v>124</v>
      </c>
      <c r="D23" s="281" t="s">
        <v>122</v>
      </c>
      <c r="E23" s="142">
        <f>'FACTURES NORMALISEES'!E37</f>
        <v>674.45</v>
      </c>
      <c r="F23" s="292"/>
      <c r="G23" s="297"/>
      <c r="H23" s="298"/>
      <c r="I23" s="324">
        <v>674.45</v>
      </c>
      <c r="J23" s="138"/>
      <c r="K23" s="511"/>
      <c r="L23" s="187"/>
      <c r="P23" s="40">
        <v>1508584.47</v>
      </c>
    </row>
    <row r="24" spans="1:16" ht="15.6" x14ac:dyDescent="0.3">
      <c r="A24" s="130"/>
      <c r="B24" s="317" t="s">
        <v>244</v>
      </c>
      <c r="C24" s="462" t="s">
        <v>135</v>
      </c>
      <c r="D24" s="281" t="s">
        <v>134</v>
      </c>
      <c r="E24" s="142">
        <f>'FACTURES NORMALISEES'!E38</f>
        <v>780.32</v>
      </c>
      <c r="F24" s="292"/>
      <c r="G24" s="297">
        <v>780.32</v>
      </c>
      <c r="H24" s="298"/>
      <c r="I24" s="324">
        <v>780.32</v>
      </c>
      <c r="J24" s="138"/>
      <c r="K24" s="511"/>
      <c r="L24" s="187"/>
      <c r="P24" s="40">
        <v>1745390.51</v>
      </c>
    </row>
    <row r="25" spans="1:16" ht="15.6" x14ac:dyDescent="0.3">
      <c r="A25" s="130"/>
      <c r="B25" s="317" t="s">
        <v>243</v>
      </c>
      <c r="C25" s="462" t="s">
        <v>177</v>
      </c>
      <c r="D25" s="281" t="s">
        <v>140</v>
      </c>
      <c r="E25" s="142">
        <f>'FACTURES NORMALISEES'!E39</f>
        <v>250</v>
      </c>
      <c r="F25" s="292"/>
      <c r="G25" s="297"/>
      <c r="H25" s="298"/>
      <c r="I25" s="324">
        <v>250</v>
      </c>
      <c r="J25" s="138"/>
      <c r="K25" s="511"/>
      <c r="L25" s="187"/>
      <c r="P25" s="40">
        <v>559190.62</v>
      </c>
    </row>
    <row r="26" spans="1:16" ht="16.2" thickBot="1" x14ac:dyDescent="0.35">
      <c r="A26" s="131"/>
      <c r="B26" s="320"/>
      <c r="C26" s="349"/>
      <c r="D26" s="350"/>
      <c r="E26" s="339"/>
      <c r="F26" s="340"/>
      <c r="G26" s="351"/>
      <c r="H26" s="352"/>
      <c r="I26" s="325"/>
      <c r="J26" s="214"/>
      <c r="K26" s="513"/>
      <c r="L26" s="187"/>
    </row>
    <row r="27" spans="1:16" s="355" customFormat="1" ht="16.2" thickBot="1" x14ac:dyDescent="0.35">
      <c r="A27" s="356"/>
      <c r="B27" s="353">
        <v>46023</v>
      </c>
      <c r="C27" s="464"/>
      <c r="D27" s="357"/>
      <c r="E27" s="358">
        <f t="shared" ref="E27:K27" si="1">SUM(E5:E26)</f>
        <v>10937.321724137932</v>
      </c>
      <c r="F27" s="365">
        <f t="shared" si="1"/>
        <v>15940</v>
      </c>
      <c r="G27" s="360">
        <f t="shared" si="1"/>
        <v>6929.73</v>
      </c>
      <c r="H27" s="361">
        <f t="shared" si="1"/>
        <v>0</v>
      </c>
      <c r="I27" s="362">
        <f t="shared" si="1"/>
        <v>24144.77</v>
      </c>
      <c r="J27" s="376">
        <f t="shared" si="1"/>
        <v>410.60827586206892</v>
      </c>
      <c r="K27" s="364">
        <f t="shared" si="1"/>
        <v>410.61</v>
      </c>
      <c r="L27" s="354"/>
      <c r="N27" s="376">
        <f t="shared" ref="N27:P27" si="2">SUM(N5:N26)</f>
        <v>899170.02</v>
      </c>
      <c r="O27" s="364">
        <f t="shared" si="2"/>
        <v>5619812.7100000009</v>
      </c>
      <c r="P27" s="364">
        <f t="shared" si="2"/>
        <v>53785975.889999993</v>
      </c>
    </row>
    <row r="28" spans="1:16" x14ac:dyDescent="0.3">
      <c r="A28" s="210"/>
      <c r="B28" s="20"/>
      <c r="C28" s="344"/>
      <c r="D28" s="345"/>
      <c r="E28" s="346"/>
      <c r="F28" s="291"/>
      <c r="G28" s="347"/>
      <c r="H28" s="348"/>
      <c r="I28" s="323"/>
      <c r="J28" s="514"/>
      <c r="K28" s="515"/>
      <c r="L28" s="187"/>
    </row>
    <row r="29" spans="1:16" x14ac:dyDescent="0.3">
      <c r="A29" s="130"/>
      <c r="B29" s="21" t="s">
        <v>246</v>
      </c>
      <c r="C29" s="462" t="s">
        <v>163</v>
      </c>
      <c r="D29" s="281" t="s">
        <v>150</v>
      </c>
      <c r="E29" s="220">
        <f>'FACTURES NORMALISEES'!E49</f>
        <v>225.00000000000003</v>
      </c>
      <c r="F29" s="292"/>
      <c r="G29" s="297">
        <v>261</v>
      </c>
      <c r="H29" s="300"/>
      <c r="I29" s="323"/>
      <c r="J29" s="516">
        <v>36</v>
      </c>
      <c r="K29" s="516">
        <v>36</v>
      </c>
      <c r="L29" s="187"/>
      <c r="N29" s="40">
        <v>80523.45</v>
      </c>
      <c r="O29" s="40">
        <v>583795.01</v>
      </c>
    </row>
    <row r="30" spans="1:16" ht="15.6" x14ac:dyDescent="0.3">
      <c r="A30" s="130"/>
      <c r="B30" s="21" t="s">
        <v>247</v>
      </c>
      <c r="C30" s="463" t="s">
        <v>118</v>
      </c>
      <c r="D30" s="281" t="s">
        <v>107</v>
      </c>
      <c r="E30" s="142"/>
      <c r="F30" s="292">
        <f>'FACTURES NORMALISEES'!E32</f>
        <v>178</v>
      </c>
      <c r="G30" s="297"/>
      <c r="H30" s="298" t="e">
        <f>'FACTURES NORMALISEES'!#REF!</f>
        <v>#REF!</v>
      </c>
      <c r="I30" s="324"/>
      <c r="J30" s="138" t="e">
        <f>H30-F30</f>
        <v>#REF!</v>
      </c>
      <c r="K30" s="138">
        <v>28.48</v>
      </c>
      <c r="L30" s="187"/>
      <c r="N30" s="40">
        <v>63703</v>
      </c>
      <c r="O30" s="40">
        <v>398143.72</v>
      </c>
    </row>
    <row r="31" spans="1:16" ht="15.6" x14ac:dyDescent="0.3">
      <c r="A31" s="130"/>
      <c r="B31" s="21" t="s">
        <v>247</v>
      </c>
      <c r="C31" s="462" t="s">
        <v>172</v>
      </c>
      <c r="D31" s="281" t="s">
        <v>144</v>
      </c>
      <c r="E31" s="142">
        <f>'FACTURES NORMALISEES'!E43</f>
        <v>350</v>
      </c>
      <c r="F31" s="292"/>
      <c r="G31" s="304">
        <v>406</v>
      </c>
      <c r="H31" s="298"/>
      <c r="I31" s="324"/>
      <c r="J31" s="138">
        <f>G31-E31</f>
        <v>56</v>
      </c>
      <c r="K31" s="138">
        <v>56</v>
      </c>
      <c r="L31" s="187"/>
      <c r="N31" s="40">
        <v>125258.7</v>
      </c>
      <c r="O31" s="40">
        <v>782866.87</v>
      </c>
    </row>
    <row r="32" spans="1:16" ht="15.6" x14ac:dyDescent="0.3">
      <c r="A32" s="130"/>
      <c r="B32" s="21" t="s">
        <v>247</v>
      </c>
      <c r="C32" s="462" t="s">
        <v>175</v>
      </c>
      <c r="D32" s="281" t="s">
        <v>145</v>
      </c>
      <c r="E32" s="142">
        <f>'FACTURES NORMALISEES'!E44</f>
        <v>350</v>
      </c>
      <c r="F32" s="292"/>
      <c r="G32" s="304">
        <v>406</v>
      </c>
      <c r="H32" s="298"/>
      <c r="I32" s="324"/>
      <c r="J32" s="138">
        <f>G32-E32</f>
        <v>56</v>
      </c>
      <c r="K32" s="138">
        <v>56</v>
      </c>
      <c r="L32" s="187"/>
      <c r="N32" s="270">
        <v>125258.7</v>
      </c>
      <c r="O32" s="270">
        <v>782866.87</v>
      </c>
    </row>
    <row r="33" spans="1:16" ht="15.6" x14ac:dyDescent="0.3">
      <c r="A33" s="130"/>
      <c r="B33" s="21" t="s">
        <v>201</v>
      </c>
      <c r="C33" s="463" t="s">
        <v>130</v>
      </c>
      <c r="D33" s="281" t="s">
        <v>119</v>
      </c>
      <c r="E33" s="142"/>
      <c r="F33" s="292">
        <f>'FACTURES NORMALISEES'!E34</f>
        <v>2574.0000000000005</v>
      </c>
      <c r="G33" s="297"/>
      <c r="H33" s="305">
        <v>2985.84</v>
      </c>
      <c r="I33" s="324"/>
      <c r="J33" s="138">
        <f>'FACTURES NORMALISEES'!F34</f>
        <v>411.83999999999969</v>
      </c>
      <c r="K33" s="138">
        <v>411.84</v>
      </c>
      <c r="L33" s="187"/>
      <c r="N33" s="270">
        <v>921188.27</v>
      </c>
      <c r="O33" s="270">
        <v>5757426.6699999999</v>
      </c>
    </row>
    <row r="34" spans="1:16" ht="15.6" x14ac:dyDescent="0.3">
      <c r="A34" s="130"/>
      <c r="B34" s="21" t="s">
        <v>30</v>
      </c>
      <c r="C34" s="462" t="s">
        <v>167</v>
      </c>
      <c r="D34" s="281" t="s">
        <v>141</v>
      </c>
      <c r="E34" s="142">
        <f>'FACTURES NORMALISEES'!E40</f>
        <v>130.00000000000003</v>
      </c>
      <c r="F34" s="292"/>
      <c r="G34" s="297">
        <v>150.80000000000001</v>
      </c>
      <c r="H34" s="298"/>
      <c r="I34" s="324"/>
      <c r="J34" s="138">
        <f>'FACTURES NORMALISEES'!G40</f>
        <v>20.799999999999983</v>
      </c>
      <c r="K34" s="138">
        <v>20.8</v>
      </c>
      <c r="L34" s="187"/>
      <c r="N34" s="40">
        <v>46524.66</v>
      </c>
      <c r="O34" s="40">
        <v>290779.12</v>
      </c>
    </row>
    <row r="35" spans="1:16" ht="15.6" x14ac:dyDescent="0.3">
      <c r="A35" s="130"/>
      <c r="B35" s="21" t="s">
        <v>30</v>
      </c>
      <c r="C35" s="462" t="s">
        <v>160</v>
      </c>
      <c r="D35" s="281" t="s">
        <v>146</v>
      </c>
      <c r="E35" s="142">
        <f>'FACTURES NORMALISEES'!E45</f>
        <v>100</v>
      </c>
      <c r="F35" s="292"/>
      <c r="G35" s="297" t="e">
        <f>'FACTURES NORMALISEES'!#REF!</f>
        <v>#REF!</v>
      </c>
      <c r="H35" s="298"/>
      <c r="I35" s="324"/>
      <c r="J35" s="138">
        <f>'FACTURES NORMALISEES'!G45</f>
        <v>16</v>
      </c>
      <c r="K35" s="138">
        <v>16</v>
      </c>
      <c r="L35" s="187"/>
      <c r="N35" s="40">
        <v>35788.199999999997</v>
      </c>
      <c r="O35" s="40">
        <v>223676.25</v>
      </c>
    </row>
    <row r="36" spans="1:16" ht="15.6" x14ac:dyDescent="0.3">
      <c r="A36" s="130"/>
      <c r="B36" s="21" t="s">
        <v>30</v>
      </c>
      <c r="C36" s="462" t="s">
        <v>161</v>
      </c>
      <c r="D36" s="281" t="s">
        <v>148</v>
      </c>
      <c r="E36" s="142">
        <f>'FACTURES NORMALISEES'!E47</f>
        <v>240</v>
      </c>
      <c r="F36" s="292"/>
      <c r="G36" s="297" t="e">
        <f>'FACTURES NORMALISEES'!#REF!</f>
        <v>#REF!</v>
      </c>
      <c r="H36" s="298"/>
      <c r="I36" s="324"/>
      <c r="J36" s="138">
        <f>'FACTURES NORMALISEES'!G47</f>
        <v>38.399999999999977</v>
      </c>
      <c r="K36" s="138">
        <v>38.4</v>
      </c>
      <c r="L36" s="187"/>
      <c r="N36" s="40">
        <v>85891.68</v>
      </c>
      <c r="O36" s="40">
        <v>536823</v>
      </c>
    </row>
    <row r="37" spans="1:16" ht="15.6" x14ac:dyDescent="0.3">
      <c r="A37" s="130"/>
      <c r="B37" s="21" t="s">
        <v>30</v>
      </c>
      <c r="C37" s="462" t="s">
        <v>162</v>
      </c>
      <c r="D37" s="281" t="s">
        <v>149</v>
      </c>
      <c r="E37" s="142">
        <f>'FACTURES NORMALISEES'!E48</f>
        <v>400</v>
      </c>
      <c r="F37" s="292"/>
      <c r="G37" s="297" t="e">
        <f>'FACTURES NORMALISEES'!#REF!</f>
        <v>#REF!</v>
      </c>
      <c r="H37" s="298"/>
      <c r="I37" s="324"/>
      <c r="J37" s="138">
        <f>'FACTURES NORMALISEES'!G48</f>
        <v>64</v>
      </c>
      <c r="K37" s="138">
        <v>64</v>
      </c>
      <c r="L37" s="187"/>
      <c r="N37" s="40">
        <v>143152.79999999999</v>
      </c>
      <c r="O37" s="40">
        <v>894705</v>
      </c>
    </row>
    <row r="38" spans="1:16" ht="15.6" x14ac:dyDescent="0.3">
      <c r="A38" s="130"/>
      <c r="B38" s="21" t="s">
        <v>34</v>
      </c>
      <c r="C38" s="462" t="s">
        <v>164</v>
      </c>
      <c r="D38" s="281" t="s">
        <v>151</v>
      </c>
      <c r="E38" s="199">
        <f>'FACTURES NORMALISEES'!E50</f>
        <v>129.5</v>
      </c>
      <c r="F38" s="292"/>
      <c r="G38" s="297" t="e">
        <f>'FACTURES NORMALISEES'!#REF!</f>
        <v>#REF!</v>
      </c>
      <c r="H38" s="298"/>
      <c r="I38" s="324"/>
      <c r="J38" s="138">
        <f>'FACTURES NORMALISEES'!G50</f>
        <v>20.72</v>
      </c>
      <c r="K38" s="138">
        <v>20.72</v>
      </c>
      <c r="L38" s="187"/>
      <c r="N38" s="40">
        <v>46345.72</v>
      </c>
      <c r="O38" s="40">
        <v>289660.74</v>
      </c>
    </row>
    <row r="39" spans="1:16" ht="15.6" x14ac:dyDescent="0.3">
      <c r="A39" s="130"/>
      <c r="B39" s="21" t="s">
        <v>34</v>
      </c>
      <c r="C39" s="462" t="s">
        <v>165</v>
      </c>
      <c r="D39" s="281" t="s">
        <v>152</v>
      </c>
      <c r="E39" s="199">
        <f>'FACTURES NORMALISEES'!E51</f>
        <v>147.00000000000003</v>
      </c>
      <c r="F39" s="292"/>
      <c r="G39" s="297" t="e">
        <f>'FACTURES NORMALISEES'!#REF!</f>
        <v>#REF!</v>
      </c>
      <c r="H39" s="298"/>
      <c r="I39" s="324"/>
      <c r="J39" s="138">
        <f>'FACTURES NORMALISEES'!G51</f>
        <v>23.519999999999982</v>
      </c>
      <c r="K39" s="138">
        <v>23.52</v>
      </c>
      <c r="L39" s="187"/>
      <c r="N39" s="40">
        <v>52608.65</v>
      </c>
      <c r="O39" s="40">
        <v>328804.09000000003</v>
      </c>
    </row>
    <row r="40" spans="1:16" ht="15.6" x14ac:dyDescent="0.3">
      <c r="A40" s="130"/>
      <c r="B40" s="21" t="s">
        <v>314</v>
      </c>
      <c r="C40" s="465" t="s">
        <v>309</v>
      </c>
      <c r="D40" s="281" t="s">
        <v>308</v>
      </c>
      <c r="E40" s="142">
        <f>'FACTURES NORMALISEES'!E71</f>
        <v>126</v>
      </c>
      <c r="F40" s="292"/>
      <c r="G40" s="297" t="e">
        <f>'FACTURES NORMALISEES'!#REF!</f>
        <v>#REF!</v>
      </c>
      <c r="H40" s="298"/>
      <c r="I40" s="324"/>
      <c r="J40" s="138">
        <f>'FACTURES NORMALISEES'!G71</f>
        <v>20.159999999999997</v>
      </c>
      <c r="K40" s="138">
        <v>20.16</v>
      </c>
      <c r="L40" s="187"/>
      <c r="N40" s="40">
        <v>45260.13</v>
      </c>
      <c r="O40" s="40">
        <v>282875.82</v>
      </c>
    </row>
    <row r="41" spans="1:16" ht="15.6" x14ac:dyDescent="0.3">
      <c r="A41" s="130"/>
      <c r="B41" s="319" t="s">
        <v>240</v>
      </c>
      <c r="C41" s="465" t="s">
        <v>321</v>
      </c>
      <c r="D41" s="281" t="s">
        <v>332</v>
      </c>
      <c r="E41" s="142">
        <f t="shared" ref="E41:E73" si="3">+H41/1.16</f>
        <v>0</v>
      </c>
      <c r="F41" s="292"/>
      <c r="G41" s="297">
        <v>500</v>
      </c>
      <c r="H41" s="298"/>
      <c r="I41" s="324">
        <f>'FACTURES NORMALISEES'!H75</f>
        <v>500</v>
      </c>
      <c r="J41" s="138"/>
      <c r="K41" s="138"/>
      <c r="L41" s="187"/>
      <c r="P41" s="40">
        <v>1136451.1499999999</v>
      </c>
    </row>
    <row r="42" spans="1:16" ht="15.6" x14ac:dyDescent="0.3">
      <c r="A42" s="130"/>
      <c r="B42" s="319" t="s">
        <v>244</v>
      </c>
      <c r="C42" s="465" t="s">
        <v>322</v>
      </c>
      <c r="D42" s="281" t="s">
        <v>335</v>
      </c>
      <c r="E42" s="142">
        <f t="shared" si="3"/>
        <v>0</v>
      </c>
      <c r="F42" s="292"/>
      <c r="G42" s="297"/>
      <c r="H42" s="298"/>
      <c r="I42" s="324">
        <f>'FACTURES NORMALISEES'!H76</f>
        <v>700</v>
      </c>
      <c r="J42" s="138"/>
      <c r="K42" s="138"/>
      <c r="L42" s="187"/>
      <c r="P42" s="40">
        <v>1591031.61</v>
      </c>
    </row>
    <row r="43" spans="1:16" ht="15.6" x14ac:dyDescent="0.3">
      <c r="A43" s="130"/>
      <c r="B43" s="319" t="s">
        <v>243</v>
      </c>
      <c r="C43" s="465" t="s">
        <v>323</v>
      </c>
      <c r="D43" s="281" t="s">
        <v>337</v>
      </c>
      <c r="E43" s="142">
        <f t="shared" si="3"/>
        <v>0</v>
      </c>
      <c r="F43" s="292"/>
      <c r="G43" s="297"/>
      <c r="H43" s="298"/>
      <c r="I43" s="324">
        <f>'FACTURES NORMALISEES'!H77</f>
        <v>250</v>
      </c>
      <c r="J43" s="138"/>
      <c r="K43" s="138"/>
      <c r="L43" s="187"/>
      <c r="P43" s="40">
        <v>568225.56999999995</v>
      </c>
    </row>
    <row r="44" spans="1:16" ht="15.6" x14ac:dyDescent="0.3">
      <c r="A44" s="130"/>
      <c r="B44" s="319" t="s">
        <v>232</v>
      </c>
      <c r="C44" s="465" t="s">
        <v>324</v>
      </c>
      <c r="D44" s="281" t="s">
        <v>339</v>
      </c>
      <c r="E44" s="142">
        <f t="shared" si="3"/>
        <v>0</v>
      </c>
      <c r="F44" s="292"/>
      <c r="G44" s="297"/>
      <c r="H44" s="298"/>
      <c r="I44" s="324">
        <f>'FACTURES NORMALISEES'!H78</f>
        <v>750</v>
      </c>
      <c r="J44" s="138"/>
      <c r="K44" s="138"/>
      <c r="L44" s="187"/>
      <c r="P44" s="40">
        <v>1704676.72</v>
      </c>
    </row>
    <row r="45" spans="1:16" ht="15.6" x14ac:dyDescent="0.3">
      <c r="A45" s="130"/>
      <c r="B45" s="319" t="s">
        <v>372</v>
      </c>
      <c r="C45" s="465" t="s">
        <v>325</v>
      </c>
      <c r="D45" s="281" t="s">
        <v>342</v>
      </c>
      <c r="E45" s="142">
        <f t="shared" si="3"/>
        <v>0</v>
      </c>
      <c r="F45" s="292"/>
      <c r="G45" s="297"/>
      <c r="H45" s="298"/>
      <c r="I45" s="324">
        <f>'FACTURES NORMALISEES'!H79</f>
        <v>1200</v>
      </c>
      <c r="J45" s="138"/>
      <c r="K45" s="138"/>
      <c r="L45" s="187"/>
      <c r="P45" s="40">
        <v>2727482.76</v>
      </c>
    </row>
    <row r="46" spans="1:16" ht="15.6" x14ac:dyDescent="0.3">
      <c r="A46" s="130"/>
      <c r="B46" s="319" t="s">
        <v>373</v>
      </c>
      <c r="C46" s="465" t="s">
        <v>326</v>
      </c>
      <c r="D46" s="281" t="s">
        <v>343</v>
      </c>
      <c r="E46" s="142">
        <f t="shared" si="3"/>
        <v>0</v>
      </c>
      <c r="F46" s="292"/>
      <c r="G46" s="297"/>
      <c r="H46" s="298"/>
      <c r="I46" s="324">
        <f>'FACTURES NORMALISEES'!H80</f>
        <v>157.5</v>
      </c>
      <c r="J46" s="138"/>
      <c r="K46" s="138"/>
      <c r="L46" s="187"/>
      <c r="P46" s="40">
        <v>357982.11</v>
      </c>
    </row>
    <row r="47" spans="1:16" ht="15.6" x14ac:dyDescent="0.3">
      <c r="A47" s="130"/>
      <c r="B47" s="319" t="s">
        <v>234</v>
      </c>
      <c r="C47" s="465" t="s">
        <v>327</v>
      </c>
      <c r="D47" s="281" t="s">
        <v>344</v>
      </c>
      <c r="E47" s="142">
        <f t="shared" si="3"/>
        <v>0</v>
      </c>
      <c r="F47" s="292"/>
      <c r="G47" s="297"/>
      <c r="H47" s="298"/>
      <c r="I47" s="324">
        <f>'FACTURES NORMALISEES'!H81</f>
        <v>400</v>
      </c>
      <c r="J47" s="138"/>
      <c r="K47" s="138"/>
      <c r="L47" s="187"/>
      <c r="P47" s="40">
        <v>909160.92</v>
      </c>
    </row>
    <row r="48" spans="1:16" ht="15.6" x14ac:dyDescent="0.3">
      <c r="A48" s="130"/>
      <c r="B48" s="319" t="s">
        <v>385</v>
      </c>
      <c r="C48" s="465" t="s">
        <v>300</v>
      </c>
      <c r="D48" s="281" t="s">
        <v>294</v>
      </c>
      <c r="E48" s="142">
        <f>'FACTURES NORMALISEES'!E68</f>
        <v>135.98275862068968</v>
      </c>
      <c r="F48" s="292"/>
      <c r="G48" s="297" t="e">
        <f>'FACTURES NORMALISEES'!#REF!</f>
        <v>#REF!</v>
      </c>
      <c r="H48" s="298"/>
      <c r="I48" s="324"/>
      <c r="J48" s="138">
        <f>'FACTURES NORMALISEES'!G68</f>
        <v>21.757241379310329</v>
      </c>
      <c r="K48" s="138">
        <v>21.76</v>
      </c>
      <c r="L48" s="187"/>
      <c r="N48" s="40">
        <v>48846.01</v>
      </c>
      <c r="O48" s="40">
        <v>305287.57</v>
      </c>
    </row>
    <row r="49" spans="1:15" ht="15.6" x14ac:dyDescent="0.3">
      <c r="A49" s="130"/>
      <c r="B49" s="319" t="s">
        <v>384</v>
      </c>
      <c r="C49" s="465" t="s">
        <v>301</v>
      </c>
      <c r="D49" s="281" t="s">
        <v>303</v>
      </c>
      <c r="E49" s="142">
        <f>'FACTURES NORMALISEES'!E69</f>
        <v>154.35344827586209</v>
      </c>
      <c r="F49" s="292"/>
      <c r="G49" s="297" t="e">
        <f>'FACTURES NORMALISEES'!#REF!</f>
        <v>#REF!</v>
      </c>
      <c r="H49" s="298"/>
      <c r="I49" s="324"/>
      <c r="J49" s="138">
        <f>'FACTURES NORMALISEES'!G69</f>
        <v>24.696551724137919</v>
      </c>
      <c r="K49" s="138">
        <v>24.7</v>
      </c>
      <c r="L49" s="187"/>
      <c r="N49" s="40">
        <v>55444.9</v>
      </c>
      <c r="O49" s="40">
        <v>346530.62</v>
      </c>
    </row>
    <row r="50" spans="1:15" ht="15.6" x14ac:dyDescent="0.3">
      <c r="A50" s="130"/>
      <c r="B50" s="318" t="s">
        <v>383</v>
      </c>
      <c r="C50" s="463" t="s">
        <v>84</v>
      </c>
      <c r="D50" s="73" t="s">
        <v>83</v>
      </c>
      <c r="E50" s="142">
        <f>'FACTURES NORMALISEES'!E25</f>
        <v>384</v>
      </c>
      <c r="F50" s="292"/>
      <c r="G50" s="297" t="e">
        <f>'FACTURES NORMALISEES'!#REF!</f>
        <v>#REF!</v>
      </c>
      <c r="H50" s="298"/>
      <c r="I50" s="324"/>
      <c r="J50" s="138">
        <f>'FACTURES NORMALISEES'!F25</f>
        <v>61.44</v>
      </c>
      <c r="K50" s="138">
        <v>61.44</v>
      </c>
      <c r="L50" s="187"/>
      <c r="N50" s="40">
        <v>135148.69</v>
      </c>
      <c r="O50" s="40">
        <v>844679.3</v>
      </c>
    </row>
    <row r="51" spans="1:15" ht="15.6" x14ac:dyDescent="0.3">
      <c r="A51" s="130"/>
      <c r="B51" s="319" t="s">
        <v>395</v>
      </c>
      <c r="C51" s="465" t="s">
        <v>277</v>
      </c>
      <c r="D51" s="73" t="s">
        <v>275</v>
      </c>
      <c r="E51" s="199">
        <f>'FACTURES NORMALISEES'!E60</f>
        <v>136.5</v>
      </c>
      <c r="F51" s="292"/>
      <c r="G51" s="297">
        <v>158.34</v>
      </c>
      <c r="H51" s="298"/>
      <c r="I51" s="324"/>
      <c r="J51" s="138">
        <f>'FACTURES NORMALISEES'!G60</f>
        <v>21.840000000000003</v>
      </c>
      <c r="K51" s="138">
        <v>21.84</v>
      </c>
      <c r="L51" s="187"/>
      <c r="N51" s="40">
        <v>49031.81</v>
      </c>
      <c r="O51" s="40">
        <v>306448.8</v>
      </c>
    </row>
    <row r="52" spans="1:15" ht="15.6" x14ac:dyDescent="0.3">
      <c r="A52" s="130"/>
      <c r="B52" s="319" t="s">
        <v>395</v>
      </c>
      <c r="C52" s="465" t="s">
        <v>279</v>
      </c>
      <c r="D52" s="73" t="s">
        <v>281</v>
      </c>
      <c r="E52" s="199">
        <f>'FACTURES NORMALISEES'!E61</f>
        <v>105</v>
      </c>
      <c r="F52" s="292"/>
      <c r="G52" s="297">
        <v>121.8</v>
      </c>
      <c r="H52" s="298"/>
      <c r="I52" s="324"/>
      <c r="J52" s="138">
        <f>'FACTURES NORMALISEES'!G61</f>
        <v>16.799999999999997</v>
      </c>
      <c r="K52" s="138">
        <v>16.8</v>
      </c>
      <c r="L52" s="187"/>
      <c r="N52" s="40">
        <v>37716.78</v>
      </c>
      <c r="O52" s="40">
        <v>235729.84</v>
      </c>
    </row>
    <row r="53" spans="1:15" ht="15.6" x14ac:dyDescent="0.3">
      <c r="A53" s="130"/>
      <c r="B53" s="319" t="s">
        <v>395</v>
      </c>
      <c r="C53" s="465" t="s">
        <v>280</v>
      </c>
      <c r="D53" s="73" t="s">
        <v>282</v>
      </c>
      <c r="E53" s="199">
        <f>'FACTURES NORMALISEES'!E62</f>
        <v>252</v>
      </c>
      <c r="F53" s="292"/>
      <c r="G53" s="297">
        <v>292.32</v>
      </c>
      <c r="H53" s="298"/>
      <c r="I53" s="324"/>
      <c r="J53" s="138">
        <f>'FACTURES NORMALISEES'!G62</f>
        <v>40.319999999999993</v>
      </c>
      <c r="K53" s="138">
        <v>40.32</v>
      </c>
      <c r="L53" s="187"/>
      <c r="N53" s="40">
        <v>90520.26</v>
      </c>
      <c r="O53" s="40">
        <v>565751.64</v>
      </c>
    </row>
    <row r="54" spans="1:15" ht="15.6" x14ac:dyDescent="0.3">
      <c r="A54" s="130"/>
      <c r="B54" s="319" t="s">
        <v>395</v>
      </c>
      <c r="C54" s="465" t="s">
        <v>286</v>
      </c>
      <c r="D54" s="73" t="s">
        <v>283</v>
      </c>
      <c r="E54" s="199">
        <f>'FACTURES NORMALISEES'!E63</f>
        <v>420</v>
      </c>
      <c r="F54" s="292"/>
      <c r="G54" s="297">
        <v>487.2</v>
      </c>
      <c r="H54" s="298"/>
      <c r="I54" s="324"/>
      <c r="J54" s="138">
        <f>'FACTURES NORMALISEES'!G63</f>
        <v>67.199999999999989</v>
      </c>
      <c r="K54" s="138">
        <v>67.2</v>
      </c>
      <c r="L54" s="187"/>
      <c r="N54" s="40">
        <v>150867.1</v>
      </c>
      <c r="O54" s="40">
        <v>942919.41</v>
      </c>
    </row>
    <row r="55" spans="1:15" ht="15.6" x14ac:dyDescent="0.3">
      <c r="A55" s="130"/>
      <c r="B55" s="329" t="s">
        <v>401</v>
      </c>
      <c r="C55" s="466" t="s">
        <v>396</v>
      </c>
      <c r="D55" s="73"/>
      <c r="E55" s="142">
        <f t="shared" si="3"/>
        <v>0</v>
      </c>
      <c r="F55" s="292"/>
      <c r="G55" s="297">
        <v>319</v>
      </c>
      <c r="H55" s="298"/>
      <c r="I55" s="324"/>
      <c r="J55" s="138"/>
      <c r="K55" s="138"/>
      <c r="L55" s="187"/>
    </row>
    <row r="56" spans="1:15" ht="15.6" x14ac:dyDescent="0.3">
      <c r="A56" s="130"/>
      <c r="B56" s="319" t="s">
        <v>33</v>
      </c>
      <c r="C56" s="462" t="s">
        <v>171</v>
      </c>
      <c r="D56" s="73" t="s">
        <v>143</v>
      </c>
      <c r="E56" s="142">
        <f t="shared" si="3"/>
        <v>0</v>
      </c>
      <c r="F56" s="292"/>
      <c r="G56" s="297" t="e">
        <f>'FACTURES NORMALISEES'!#REF!</f>
        <v>#REF!</v>
      </c>
      <c r="H56" s="298"/>
      <c r="I56" s="324"/>
      <c r="J56" s="138">
        <f>'FACTURES NORMALISEES'!G42</f>
        <v>44</v>
      </c>
      <c r="K56" s="138">
        <v>44</v>
      </c>
      <c r="L56" s="187"/>
      <c r="N56" s="40">
        <v>98417.55</v>
      </c>
      <c r="O56" s="40">
        <v>615109.68000000005</v>
      </c>
    </row>
    <row r="57" spans="1:15" ht="15.6" x14ac:dyDescent="0.3">
      <c r="A57" s="130"/>
      <c r="B57" s="319" t="s">
        <v>397</v>
      </c>
      <c r="C57" s="465" t="s">
        <v>351</v>
      </c>
      <c r="D57" s="73" t="s">
        <v>361</v>
      </c>
      <c r="E57" s="142">
        <f>'FACTURES NORMALISEES'!E88</f>
        <v>350</v>
      </c>
      <c r="F57" s="292"/>
      <c r="G57" s="297" t="e">
        <f>'FACTURES NORMALISEES'!#REF!</f>
        <v>#REF!</v>
      </c>
      <c r="H57" s="298"/>
      <c r="I57" s="324"/>
      <c r="J57" s="138">
        <f>'FACTURES NORMALISEES'!G88</f>
        <v>56</v>
      </c>
      <c r="K57" s="138">
        <v>56</v>
      </c>
      <c r="L57" s="187"/>
      <c r="N57" s="40" t="e">
        <f>'FACTURES NORMALISEES'!#REF!</f>
        <v>#REF!</v>
      </c>
      <c r="O57" s="40" t="e">
        <f>'FACTURES NORMALISEES'!#REF!</f>
        <v>#REF!</v>
      </c>
    </row>
    <row r="58" spans="1:15" ht="15.6" x14ac:dyDescent="0.3">
      <c r="A58" s="130"/>
      <c r="B58" s="319" t="s">
        <v>398</v>
      </c>
      <c r="C58" s="465" t="s">
        <v>347</v>
      </c>
      <c r="D58" s="73" t="s">
        <v>357</v>
      </c>
      <c r="E58" s="199">
        <f>'FACTURES NORMALISEES'!E84</f>
        <v>500.00000000000006</v>
      </c>
      <c r="F58" s="292"/>
      <c r="G58" s="297" t="e">
        <f>'FACTURES NORMALISEES'!#REF!</f>
        <v>#REF!</v>
      </c>
      <c r="H58" s="298"/>
      <c r="I58" s="324"/>
      <c r="J58" s="138">
        <f>'FACTURES NORMALISEES'!G84</f>
        <v>79.999999999999943</v>
      </c>
      <c r="K58" s="138">
        <v>80</v>
      </c>
      <c r="L58" s="187"/>
      <c r="N58" s="40" t="e">
        <f>'FACTURES NORMALISEES'!#REF!</f>
        <v>#REF!</v>
      </c>
      <c r="O58" s="40" t="e">
        <f>'FACTURES NORMALISEES'!#REF!</f>
        <v>#REF!</v>
      </c>
    </row>
    <row r="59" spans="1:15" ht="15.6" x14ac:dyDescent="0.3">
      <c r="A59" s="130"/>
      <c r="B59" s="319" t="s">
        <v>398</v>
      </c>
      <c r="C59" s="465" t="s">
        <v>348</v>
      </c>
      <c r="D59" s="73" t="s">
        <v>358</v>
      </c>
      <c r="E59" s="199">
        <f>'FACTURES NORMALISEES'!E85</f>
        <v>250.00000000000003</v>
      </c>
      <c r="F59" s="292"/>
      <c r="G59" s="297" t="e">
        <f>'FACTURES NORMALISEES'!#REF!</f>
        <v>#REF!</v>
      </c>
      <c r="H59" s="298"/>
      <c r="I59" s="324"/>
      <c r="J59" s="138">
        <f>'FACTURES NORMALISEES'!G85</f>
        <v>39.999999999999972</v>
      </c>
      <c r="K59" s="138">
        <v>40</v>
      </c>
      <c r="L59" s="187"/>
      <c r="N59" s="40" t="e">
        <f>'FACTURES NORMALISEES'!#REF!</f>
        <v>#REF!</v>
      </c>
      <c r="O59" s="40" t="e">
        <f>'FACTURES NORMALISEES'!#REF!</f>
        <v>#REF!</v>
      </c>
    </row>
    <row r="60" spans="1:15" ht="15.6" x14ac:dyDescent="0.3">
      <c r="A60" s="130"/>
      <c r="B60" s="319" t="s">
        <v>399</v>
      </c>
      <c r="C60" s="465" t="s">
        <v>389</v>
      </c>
      <c r="D60" s="73" t="s">
        <v>386</v>
      </c>
      <c r="E60" s="142">
        <f>'FACTURES NORMALISEES'!E93</f>
        <v>181.43965517241381</v>
      </c>
      <c r="F60" s="292"/>
      <c r="G60" s="297" t="e">
        <f>'FACTURES NORMALISEES'!#REF!</f>
        <v>#REF!</v>
      </c>
      <c r="H60" s="298"/>
      <c r="I60" s="324"/>
      <c r="J60" s="138">
        <f>'FACTURES NORMALISEES'!G93</f>
        <v>29.030344827586191</v>
      </c>
      <c r="K60" s="138">
        <v>29.03</v>
      </c>
      <c r="L60" s="187"/>
      <c r="N60" s="40" t="e">
        <f>'FACTURES NORMALISEES'!#REF!</f>
        <v>#REF!</v>
      </c>
      <c r="O60" s="40" t="e">
        <f>'FACTURES NORMALISEES'!#REF!</f>
        <v>#REF!</v>
      </c>
    </row>
    <row r="61" spans="1:15" ht="15.6" x14ac:dyDescent="0.3">
      <c r="A61" s="130"/>
      <c r="B61" s="319" t="s">
        <v>32</v>
      </c>
      <c r="C61" s="465" t="s">
        <v>287</v>
      </c>
      <c r="D61" s="73" t="s">
        <v>290</v>
      </c>
      <c r="E61" s="142">
        <f>'FACTURES NORMALISEES'!E64</f>
        <v>236.25000000000003</v>
      </c>
      <c r="F61" s="292"/>
      <c r="G61" s="297" t="e">
        <f>'FACTURES NORMALISEES'!#REF!</f>
        <v>#REF!</v>
      </c>
      <c r="H61" s="298"/>
      <c r="I61" s="324"/>
      <c r="J61" s="138">
        <f>'FACTURES NORMALISEES'!G64</f>
        <v>37.799999999999983</v>
      </c>
      <c r="K61" s="138">
        <v>37.799999999999997</v>
      </c>
      <c r="L61" s="187"/>
      <c r="N61" s="40" t="e">
        <f>'FACTURES NORMALISEES'!#REF!</f>
        <v>#REF!</v>
      </c>
      <c r="O61" s="40" t="e">
        <f>'FACTURES NORMALISEES'!#REF!</f>
        <v>#REF!</v>
      </c>
    </row>
    <row r="62" spans="1:15" ht="15.6" x14ac:dyDescent="0.3">
      <c r="A62" s="130"/>
      <c r="B62" s="319" t="s">
        <v>32</v>
      </c>
      <c r="C62" s="465" t="s">
        <v>288</v>
      </c>
      <c r="D62" s="73" t="s">
        <v>291</v>
      </c>
      <c r="E62" s="142">
        <f>'FACTURES NORMALISEES'!E65</f>
        <v>1393.8793103448277</v>
      </c>
      <c r="F62" s="292"/>
      <c r="G62" s="297" t="e">
        <f>'FACTURES NORMALISEES'!#REF!</f>
        <v>#REF!</v>
      </c>
      <c r="H62" s="298"/>
      <c r="I62" s="324"/>
      <c r="J62" s="138">
        <f>'FACTURES NORMALISEES'!G65</f>
        <v>223.02068965517242</v>
      </c>
      <c r="K62" s="138">
        <v>223.02</v>
      </c>
      <c r="L62" s="187"/>
      <c r="N62" s="40" t="e">
        <f>'FACTURES NORMALISEES'!#REF!</f>
        <v>#REF!</v>
      </c>
      <c r="O62" s="40" t="e">
        <f>'FACTURES NORMALISEES'!#REF!</f>
        <v>#REF!</v>
      </c>
    </row>
    <row r="63" spans="1:15" ht="15.6" x14ac:dyDescent="0.3">
      <c r="A63" s="130"/>
      <c r="B63" s="319" t="s">
        <v>400</v>
      </c>
      <c r="C63" s="465" t="s">
        <v>390</v>
      </c>
      <c r="D63" s="73" t="s">
        <v>387</v>
      </c>
      <c r="E63" s="142">
        <f>'FACTURES NORMALISEES'!E94</f>
        <v>189.00000000000003</v>
      </c>
      <c r="F63" s="292"/>
      <c r="G63" s="297" t="e">
        <f>'FACTURES NORMALISEES'!#REF!</f>
        <v>#REF!</v>
      </c>
      <c r="H63" s="298"/>
      <c r="I63" s="324"/>
      <c r="J63" s="138">
        <f>'FACTURES NORMALISEES'!G94</f>
        <v>30.239999999999981</v>
      </c>
      <c r="K63" s="138">
        <v>30.24</v>
      </c>
      <c r="L63" s="187"/>
      <c r="N63" s="40" t="e">
        <f>'FACTURES NORMALISEES'!#REF!</f>
        <v>#REF!</v>
      </c>
      <c r="O63" s="40" t="e">
        <f>'FACTURES NORMALISEES'!#REF!</f>
        <v>#REF!</v>
      </c>
    </row>
    <row r="64" spans="1:15" ht="15.6" x14ac:dyDescent="0.3">
      <c r="A64" s="130"/>
      <c r="B64" s="319" t="s">
        <v>199</v>
      </c>
      <c r="C64" s="463" t="s">
        <v>131</v>
      </c>
      <c r="D64" s="73" t="s">
        <v>105</v>
      </c>
      <c r="E64" s="142">
        <v>0</v>
      </c>
      <c r="F64" s="292">
        <f>'FACTURES NORMALISEES'!E30</f>
        <v>12603.603448275862</v>
      </c>
      <c r="G64" s="297"/>
      <c r="H64" s="298" t="e">
        <f>'FACTURES NORMALISEES'!#REF!</f>
        <v>#REF!</v>
      </c>
      <c r="I64" s="324"/>
      <c r="J64" s="138">
        <f>'FACTURES NORMALISEES'!F30</f>
        <v>2016.576551724138</v>
      </c>
      <c r="K64" s="138">
        <v>2016.58</v>
      </c>
      <c r="L64" s="187"/>
      <c r="N64" s="40" t="e">
        <f>'FACTURES NORMALISEES'!#REF!</f>
        <v>#REF!</v>
      </c>
      <c r="O64" s="40" t="e">
        <f>'FACTURES NORMALISEES'!#REF!</f>
        <v>#REF!</v>
      </c>
    </row>
    <row r="65" spans="1:16" ht="15.6" x14ac:dyDescent="0.3">
      <c r="A65" s="130"/>
      <c r="B65" s="330" t="s">
        <v>586</v>
      </c>
      <c r="C65" s="467" t="s">
        <v>273</v>
      </c>
      <c r="D65" s="331" t="s">
        <v>274</v>
      </c>
      <c r="E65" s="142"/>
      <c r="F65" s="292" t="e">
        <f>H65/1.16</f>
        <v>#REF!</v>
      </c>
      <c r="G65" s="297"/>
      <c r="H65" s="332" t="e">
        <f>'FACTURES NORMALISEES'!#REF!</f>
        <v>#REF!</v>
      </c>
      <c r="I65" s="324"/>
      <c r="J65" s="366" t="e">
        <f>+F65*16%</f>
        <v>#REF!</v>
      </c>
      <c r="K65" s="366">
        <f>+G65*16%</f>
        <v>0</v>
      </c>
      <c r="L65" s="187"/>
      <c r="N65" s="560">
        <f>155799275*16/100</f>
        <v>24927884</v>
      </c>
      <c r="O65" s="560">
        <f>155799275</f>
        <v>155799275</v>
      </c>
    </row>
    <row r="66" spans="1:16" ht="15.6" x14ac:dyDescent="0.3">
      <c r="A66" s="130"/>
      <c r="B66" s="327" t="s">
        <v>474</v>
      </c>
      <c r="C66" s="463" t="s">
        <v>379</v>
      </c>
      <c r="D66" s="73" t="s">
        <v>374</v>
      </c>
      <c r="E66" s="142"/>
      <c r="F66" s="292">
        <f>'FACTURES NORMALISEES'!E90</f>
        <v>8752.2500000000018</v>
      </c>
      <c r="G66" s="297"/>
      <c r="H66" s="298" t="e">
        <f>'FACTURES NORMALISEES'!#REF!</f>
        <v>#REF!</v>
      </c>
      <c r="I66" s="324"/>
      <c r="J66" s="138">
        <f>'FACTURES NORMALISEES'!F90</f>
        <v>1400.3599999999988</v>
      </c>
      <c r="K66" s="138">
        <v>1400.36</v>
      </c>
      <c r="L66" s="187"/>
      <c r="N66" s="40" t="e">
        <f>'FACTURES NORMALISEES'!#REF!</f>
        <v>#REF!</v>
      </c>
      <c r="O66" s="40" t="e">
        <f>'FACTURES NORMALISEES'!#REF!</f>
        <v>#REF!</v>
      </c>
    </row>
    <row r="67" spans="1:16" ht="15.6" x14ac:dyDescent="0.3">
      <c r="A67" s="130"/>
      <c r="B67" s="327" t="s">
        <v>474</v>
      </c>
      <c r="C67" s="463" t="s">
        <v>382</v>
      </c>
      <c r="D67" s="73" t="s">
        <v>375</v>
      </c>
      <c r="E67" s="142"/>
      <c r="F67" s="292">
        <f>'FACTURES NORMALISEES'!E91</f>
        <v>4812.5</v>
      </c>
      <c r="G67" s="297"/>
      <c r="H67" s="298">
        <v>5582.5</v>
      </c>
      <c r="I67" s="324"/>
      <c r="J67" s="138">
        <f>'FACTURES NORMALISEES'!F91</f>
        <v>770</v>
      </c>
      <c r="K67" s="138">
        <v>770</v>
      </c>
      <c r="L67" s="187"/>
      <c r="N67" s="40" t="e">
        <f>'FACTURES NORMALISEES'!#REF!</f>
        <v>#REF!</v>
      </c>
      <c r="O67" s="40" t="e">
        <f>'FACTURES NORMALISEES'!#REF!</f>
        <v>#REF!</v>
      </c>
    </row>
    <row r="68" spans="1:16" ht="15.6" x14ac:dyDescent="0.3">
      <c r="A68" s="130"/>
      <c r="B68" s="327" t="s">
        <v>198</v>
      </c>
      <c r="C68" s="463" t="s">
        <v>126</v>
      </c>
      <c r="D68" s="73" t="s">
        <v>104</v>
      </c>
      <c r="E68" s="142"/>
      <c r="F68" s="292">
        <f>'FACTURES NORMALISEES'!E29</f>
        <v>2250</v>
      </c>
      <c r="G68" s="297"/>
      <c r="H68" s="298" t="e">
        <f>'FACTURES NORMALISEES'!#REF!</f>
        <v>#REF!</v>
      </c>
      <c r="I68" s="324"/>
      <c r="J68" s="138">
        <f>'FACTURES NORMALISEES'!F29</f>
        <v>360</v>
      </c>
      <c r="K68" s="138">
        <v>360</v>
      </c>
      <c r="L68" s="187"/>
      <c r="N68" s="40" t="e">
        <f>'FACTURES NORMALISEES'!#REF!</f>
        <v>#REF!</v>
      </c>
      <c r="O68" s="40" t="e">
        <f>'FACTURES NORMALISEES'!#REF!</f>
        <v>#REF!</v>
      </c>
    </row>
    <row r="69" spans="1:16" ht="15.6" x14ac:dyDescent="0.3">
      <c r="A69" s="130"/>
      <c r="B69" s="327" t="s">
        <v>475</v>
      </c>
      <c r="C69" s="465" t="s">
        <v>349</v>
      </c>
      <c r="D69" s="73" t="s">
        <v>359</v>
      </c>
      <c r="E69" s="142">
        <f>'FACTURES NORMALISEES'!E86</f>
        <v>250.00000000000003</v>
      </c>
      <c r="F69" s="292"/>
      <c r="G69" s="297" t="e">
        <f>'FACTURES NORMALISEES'!#REF!</f>
        <v>#REF!</v>
      </c>
      <c r="H69" s="298"/>
      <c r="I69" s="324"/>
      <c r="J69" s="138">
        <f>'FACTURES NORMALISEES'!G86</f>
        <v>39.999999999999972</v>
      </c>
      <c r="K69" s="138">
        <v>40</v>
      </c>
      <c r="L69" s="187"/>
      <c r="N69" s="40" t="e">
        <f>'FACTURES NORMALISEES'!#REF!</f>
        <v>#REF!</v>
      </c>
      <c r="O69" s="40" t="e">
        <f>'FACTURES NORMALISEES'!#REF!</f>
        <v>#REF!</v>
      </c>
    </row>
    <row r="70" spans="1:16" ht="15.6" x14ac:dyDescent="0.3">
      <c r="A70" s="130"/>
      <c r="B70" s="319" t="s">
        <v>243</v>
      </c>
      <c r="C70" s="465" t="s">
        <v>477</v>
      </c>
      <c r="D70" s="73" t="s">
        <v>454</v>
      </c>
      <c r="E70" s="142"/>
      <c r="F70" s="292"/>
      <c r="G70" s="297"/>
      <c r="H70" s="298"/>
      <c r="I70" s="324"/>
      <c r="J70" s="138"/>
      <c r="K70" s="138"/>
      <c r="L70" s="187"/>
      <c r="P70" s="40">
        <v>523795.35</v>
      </c>
    </row>
    <row r="71" spans="1:16" ht="15.6" x14ac:dyDescent="0.3">
      <c r="A71" s="130"/>
      <c r="B71" s="319" t="s">
        <v>234</v>
      </c>
      <c r="C71" s="465" t="s">
        <v>457</v>
      </c>
      <c r="D71" s="73" t="s">
        <v>455</v>
      </c>
      <c r="E71" s="142"/>
      <c r="F71" s="292"/>
      <c r="G71" s="297"/>
      <c r="H71" s="298"/>
      <c r="I71" s="324"/>
      <c r="J71" s="138"/>
      <c r="K71" s="138"/>
      <c r="L71" s="187"/>
      <c r="P71" s="40">
        <v>838072.56</v>
      </c>
    </row>
    <row r="72" spans="1:16" ht="15.6" x14ac:dyDescent="0.3">
      <c r="A72" s="131"/>
      <c r="B72" s="561"/>
      <c r="C72" s="562"/>
      <c r="D72" s="450"/>
      <c r="E72" s="339"/>
      <c r="F72" s="340"/>
      <c r="G72" s="341"/>
      <c r="H72" s="342"/>
      <c r="I72" s="325"/>
      <c r="J72" s="343"/>
      <c r="K72" s="563"/>
      <c r="L72" s="187"/>
      <c r="N72" s="407">
        <f>-N65</f>
        <v>-24927884</v>
      </c>
      <c r="O72" s="560">
        <f>-O65</f>
        <v>-155799275</v>
      </c>
    </row>
    <row r="73" spans="1:16" ht="16.2" thickBot="1" x14ac:dyDescent="0.35">
      <c r="A73" s="131"/>
      <c r="B73" s="320"/>
      <c r="C73" s="337"/>
      <c r="D73" s="338"/>
      <c r="E73" s="339">
        <f t="shared" si="3"/>
        <v>0</v>
      </c>
      <c r="F73" s="340"/>
      <c r="G73" s="341"/>
      <c r="H73" s="342"/>
      <c r="I73" s="325"/>
      <c r="J73" s="343"/>
      <c r="K73" s="513"/>
      <c r="L73" s="187"/>
    </row>
    <row r="74" spans="1:16" s="355" customFormat="1" ht="16.2" thickBot="1" x14ac:dyDescent="0.35">
      <c r="A74" s="356"/>
      <c r="B74" s="353">
        <v>46054</v>
      </c>
      <c r="C74" s="464"/>
      <c r="D74" s="357"/>
      <c r="E74" s="358">
        <f>SUM(E29:E73)</f>
        <v>7135.9051724137935</v>
      </c>
      <c r="F74" s="359" t="e">
        <f t="shared" ref="F74:K74" si="4">SUM(F28:F73)</f>
        <v>#REF!</v>
      </c>
      <c r="G74" s="360" t="e">
        <f t="shared" si="4"/>
        <v>#REF!</v>
      </c>
      <c r="H74" s="361" t="e">
        <f t="shared" si="4"/>
        <v>#REF!</v>
      </c>
      <c r="I74" s="362">
        <f t="shared" si="4"/>
        <v>3957.5</v>
      </c>
      <c r="J74" s="376" t="e">
        <f t="shared" si="4"/>
        <v>#REF!</v>
      </c>
      <c r="K74" s="376">
        <f t="shared" si="4"/>
        <v>6173.0099999999993</v>
      </c>
      <c r="L74" s="354"/>
      <c r="N74" s="376" t="e">
        <f>SUM(N30:N73)</f>
        <v>#REF!</v>
      </c>
      <c r="O74" s="364" t="e">
        <f>SUM(O30:O73)</f>
        <v>#REF!</v>
      </c>
      <c r="P74" s="364">
        <f>SUM(P30:P73)</f>
        <v>10356878.75</v>
      </c>
    </row>
    <row r="75" spans="1:16" x14ac:dyDescent="0.3">
      <c r="A75" s="210"/>
      <c r="B75" s="367"/>
      <c r="C75" s="344"/>
      <c r="D75" s="368"/>
      <c r="E75" s="372"/>
      <c r="F75" s="369"/>
      <c r="G75" s="385"/>
      <c r="H75" s="386"/>
      <c r="I75" s="323"/>
      <c r="J75" s="514"/>
      <c r="K75" s="515"/>
      <c r="L75" s="187"/>
    </row>
    <row r="76" spans="1:16" x14ac:dyDescent="0.3">
      <c r="A76" s="394">
        <v>46085</v>
      </c>
      <c r="B76" s="21" t="s">
        <v>535</v>
      </c>
      <c r="C76" s="463" t="s">
        <v>521</v>
      </c>
      <c r="D76" s="73" t="s">
        <v>520</v>
      </c>
      <c r="E76" s="219"/>
      <c r="F76" s="370">
        <f>'FACTURES NORMALISEES'!E129</f>
        <v>400</v>
      </c>
      <c r="G76" s="302"/>
      <c r="H76" s="303" t="e">
        <f>'FACTURES NORMALISEES'!#REF!</f>
        <v>#REF!</v>
      </c>
      <c r="I76" s="324"/>
      <c r="J76" s="517">
        <f>'FACTURES NORMALISEES'!F129</f>
        <v>64</v>
      </c>
      <c r="K76" s="518">
        <v>64</v>
      </c>
      <c r="L76" s="187"/>
      <c r="N76" s="40">
        <f>+O76*0.16</f>
        <v>143630.17600000001</v>
      </c>
      <c r="O76" s="40">
        <v>897688.6</v>
      </c>
    </row>
    <row r="77" spans="1:16" x14ac:dyDescent="0.3">
      <c r="A77" s="394">
        <v>46085</v>
      </c>
      <c r="B77" s="21" t="s">
        <v>31</v>
      </c>
      <c r="C77" s="465" t="s">
        <v>536</v>
      </c>
      <c r="D77" s="73" t="s">
        <v>431</v>
      </c>
      <c r="E77" s="220">
        <f>'FACTURES NORMALISEES'!E100</f>
        <v>192.14655172413794</v>
      </c>
      <c r="F77" s="370"/>
      <c r="G77" s="308" t="e">
        <f>'FACTURES NORMALISEES'!#REF!</f>
        <v>#REF!</v>
      </c>
      <c r="H77" s="303"/>
      <c r="I77" s="324"/>
      <c r="J77" s="517">
        <f>'FACTURES NORMALISEES'!G100</f>
        <v>30.74344827586205</v>
      </c>
      <c r="K77" s="518">
        <v>30.74</v>
      </c>
      <c r="L77" s="187"/>
      <c r="N77" s="40">
        <f t="shared" ref="N77:N78" si="5">+O77*16%</f>
        <v>64910.734400000008</v>
      </c>
      <c r="O77" s="40">
        <v>405692.09</v>
      </c>
    </row>
    <row r="78" spans="1:16" x14ac:dyDescent="0.3">
      <c r="A78" s="394">
        <v>46085</v>
      </c>
      <c r="B78" s="21" t="s">
        <v>31</v>
      </c>
      <c r="C78" s="465" t="s">
        <v>537</v>
      </c>
      <c r="D78" s="73" t="s">
        <v>432</v>
      </c>
      <c r="E78" s="220">
        <f>'FACTURES NORMALISEES'!E101</f>
        <v>192.14655172413794</v>
      </c>
      <c r="F78" s="370"/>
      <c r="G78" s="308" t="e">
        <f>'FACTURES NORMALISEES'!#REF!</f>
        <v>#REF!</v>
      </c>
      <c r="H78" s="303"/>
      <c r="I78" s="324"/>
      <c r="J78" s="517">
        <f>'FACTURES NORMALISEES'!G101</f>
        <v>30.74344827586205</v>
      </c>
      <c r="K78" s="518">
        <v>30.74</v>
      </c>
      <c r="L78" s="187"/>
      <c r="N78" s="40">
        <f t="shared" si="5"/>
        <v>64910.734400000008</v>
      </c>
      <c r="O78" s="40">
        <v>405692.09</v>
      </c>
    </row>
    <row r="79" spans="1:16" x14ac:dyDescent="0.3">
      <c r="A79" s="394">
        <v>46086</v>
      </c>
      <c r="B79" s="319" t="s">
        <v>538</v>
      </c>
      <c r="C79" s="465" t="s">
        <v>519</v>
      </c>
      <c r="D79" s="73" t="s">
        <v>503</v>
      </c>
      <c r="E79" s="220">
        <f>'FACTURES NORMALISEES'!E127</f>
        <v>126</v>
      </c>
      <c r="F79" s="370"/>
      <c r="G79" s="308" t="e">
        <f>'FACTURES NORMALISEES'!#REF!</f>
        <v>#REF!</v>
      </c>
      <c r="H79" s="309"/>
      <c r="I79" s="324"/>
      <c r="J79" s="517">
        <f>'FACTURES NORMALISEES'!G127</f>
        <v>20.159999999999997</v>
      </c>
      <c r="K79" s="518">
        <v>20.16</v>
      </c>
      <c r="L79" s="187"/>
      <c r="N79" s="40">
        <f t="shared" ref="N79:N122" si="6">+O79*16%</f>
        <v>45243.505599999997</v>
      </c>
      <c r="O79" s="40">
        <v>282771.90999999997</v>
      </c>
    </row>
    <row r="80" spans="1:16" x14ac:dyDescent="0.3">
      <c r="A80" s="394">
        <v>46086</v>
      </c>
      <c r="B80" s="319" t="s">
        <v>539</v>
      </c>
      <c r="C80" s="465" t="s">
        <v>393</v>
      </c>
      <c r="D80" s="73" t="s">
        <v>392</v>
      </c>
      <c r="E80" s="220">
        <f>'FACTURES NORMALISEES'!E95</f>
        <v>210</v>
      </c>
      <c r="F80" s="370"/>
      <c r="G80" s="308" t="e">
        <f>'FACTURES NORMALISEES'!#REF!</f>
        <v>#REF!</v>
      </c>
      <c r="H80" s="303"/>
      <c r="I80" s="324"/>
      <c r="J80" s="517">
        <f>'FACTURES NORMALISEES'!G95</f>
        <v>33.599999999999994</v>
      </c>
      <c r="K80" s="518">
        <v>33.6</v>
      </c>
      <c r="L80" s="187"/>
      <c r="N80" s="40">
        <f t="shared" si="6"/>
        <v>76661.788799999995</v>
      </c>
      <c r="O80" s="40">
        <v>479136.18</v>
      </c>
    </row>
    <row r="81" spans="1:16" x14ac:dyDescent="0.3">
      <c r="A81" s="394">
        <v>46087</v>
      </c>
      <c r="B81" s="319" t="s">
        <v>958</v>
      </c>
      <c r="C81" s="463" t="s">
        <v>451</v>
      </c>
      <c r="D81" s="73" t="s">
        <v>440</v>
      </c>
      <c r="E81" s="220">
        <v>400</v>
      </c>
      <c r="F81" s="370"/>
      <c r="G81" s="302"/>
      <c r="H81" s="309">
        <v>464</v>
      </c>
      <c r="I81" s="324"/>
      <c r="J81" s="517">
        <v>64</v>
      </c>
      <c r="K81" s="518">
        <v>64</v>
      </c>
      <c r="L81" s="187"/>
      <c r="N81" s="40">
        <f t="shared" si="6"/>
        <v>134091.60960000003</v>
      </c>
      <c r="O81" s="40">
        <v>838072.56</v>
      </c>
    </row>
    <row r="82" spans="1:16" x14ac:dyDescent="0.3">
      <c r="A82" s="394">
        <v>46087</v>
      </c>
      <c r="B82" s="319" t="s">
        <v>958</v>
      </c>
      <c r="C82" s="465" t="s">
        <v>459</v>
      </c>
      <c r="D82" s="73" t="s">
        <v>453</v>
      </c>
      <c r="E82" s="220">
        <v>236.25</v>
      </c>
      <c r="F82" s="370"/>
      <c r="G82" s="302">
        <v>275.05</v>
      </c>
      <c r="H82" s="303"/>
      <c r="I82" s="324"/>
      <c r="J82" s="517">
        <v>37.799999999999997</v>
      </c>
      <c r="K82" s="518">
        <v>37.799999999999997</v>
      </c>
      <c r="L82" s="187"/>
      <c r="N82" s="40">
        <f t="shared" si="6"/>
        <v>79197.856</v>
      </c>
      <c r="O82" s="40">
        <v>494986.6</v>
      </c>
    </row>
    <row r="83" spans="1:16" x14ac:dyDescent="0.3">
      <c r="A83" s="394">
        <v>46094</v>
      </c>
      <c r="B83" s="397" t="s">
        <v>959</v>
      </c>
      <c r="C83" s="463" t="s">
        <v>533</v>
      </c>
      <c r="D83" s="73" t="s">
        <v>496</v>
      </c>
      <c r="E83" s="219"/>
      <c r="F83" s="370">
        <f>'FACTURES NORMALISEES'!E120</f>
        <v>14967.991379310344</v>
      </c>
      <c r="G83" s="387"/>
      <c r="H83" s="388">
        <v>17362.87</v>
      </c>
      <c r="I83" s="324"/>
      <c r="J83" s="517">
        <v>2394.88</v>
      </c>
      <c r="K83" s="518">
        <v>0</v>
      </c>
      <c r="L83" s="187"/>
      <c r="N83" s="407" t="e">
        <f t="shared" si="6"/>
        <v>#REF!</v>
      </c>
      <c r="O83" s="335" t="e">
        <f>'FACTURES NORMALISEES'!#REF!</f>
        <v>#REF!</v>
      </c>
    </row>
    <row r="84" spans="1:16" x14ac:dyDescent="0.3">
      <c r="A84" s="394">
        <v>46108</v>
      </c>
      <c r="B84" s="319" t="s">
        <v>958</v>
      </c>
      <c r="C84" s="465" t="s">
        <v>649</v>
      </c>
      <c r="D84" s="73" t="s">
        <v>629</v>
      </c>
      <c r="E84" s="219">
        <f>'FACTURES NORMALISEES'!E163</f>
        <v>1393.8793103448277</v>
      </c>
      <c r="F84" s="370"/>
      <c r="G84" s="387">
        <v>1582.56</v>
      </c>
      <c r="H84" s="303"/>
      <c r="I84" s="324"/>
      <c r="J84" s="519">
        <v>223.02</v>
      </c>
      <c r="K84" s="518">
        <v>223.02</v>
      </c>
      <c r="L84" s="187"/>
      <c r="N84" s="40">
        <f t="shared" si="6"/>
        <v>507511.79200000002</v>
      </c>
      <c r="O84" s="40">
        <v>3171948.7</v>
      </c>
    </row>
    <row r="85" spans="1:16" x14ac:dyDescent="0.3">
      <c r="A85" s="394">
        <v>46108</v>
      </c>
      <c r="B85" s="319" t="s">
        <v>958</v>
      </c>
      <c r="C85" s="463" t="s">
        <v>633</v>
      </c>
      <c r="D85" s="73" t="s">
        <v>620</v>
      </c>
      <c r="E85" s="219">
        <f>'FACTURES NORMALISEES'!E154</f>
        <v>200</v>
      </c>
      <c r="F85" s="370"/>
      <c r="G85" s="387">
        <v>227.07</v>
      </c>
      <c r="H85" s="303"/>
      <c r="I85" s="324"/>
      <c r="J85" s="519">
        <v>32</v>
      </c>
      <c r="K85" s="518">
        <v>32</v>
      </c>
      <c r="L85" s="187"/>
      <c r="N85" s="40">
        <f t="shared" si="6"/>
        <v>72820.046399999992</v>
      </c>
      <c r="O85" s="40">
        <v>455125.29</v>
      </c>
    </row>
    <row r="86" spans="1:16" x14ac:dyDescent="0.3">
      <c r="A86" s="130"/>
      <c r="B86" s="21"/>
      <c r="C86" s="315"/>
      <c r="D86" s="76"/>
      <c r="E86" s="219"/>
      <c r="F86" s="370"/>
      <c r="G86" s="302"/>
      <c r="H86" s="303"/>
      <c r="I86" s="324"/>
      <c r="J86" s="519"/>
      <c r="K86" s="518"/>
      <c r="L86" s="187"/>
      <c r="N86" s="40">
        <f t="shared" si="6"/>
        <v>0</v>
      </c>
    </row>
    <row r="87" spans="1:16" x14ac:dyDescent="0.3">
      <c r="A87" s="394">
        <v>46085</v>
      </c>
      <c r="B87" s="398" t="s">
        <v>960</v>
      </c>
      <c r="C87" s="463" t="s">
        <v>253</v>
      </c>
      <c r="D87" s="73" t="s">
        <v>250</v>
      </c>
      <c r="E87" s="219"/>
      <c r="F87" s="383"/>
      <c r="G87" s="389"/>
      <c r="H87" s="390">
        <v>2279.4</v>
      </c>
      <c r="I87" s="324"/>
      <c r="J87" s="519">
        <v>314.39999999999998</v>
      </c>
      <c r="K87" s="518">
        <v>314.39999999999998</v>
      </c>
      <c r="L87" s="187"/>
      <c r="N87" s="40">
        <f t="shared" si="6"/>
        <v>689191.4608</v>
      </c>
      <c r="O87" s="40">
        <v>4307446.63</v>
      </c>
    </row>
    <row r="88" spans="1:16" x14ac:dyDescent="0.3">
      <c r="A88" s="395">
        <v>46087</v>
      </c>
      <c r="B88" s="399" t="s">
        <v>961</v>
      </c>
      <c r="C88" s="465" t="s">
        <v>516</v>
      </c>
      <c r="D88" s="73" t="s">
        <v>497</v>
      </c>
      <c r="E88" s="219"/>
      <c r="F88" s="370"/>
      <c r="G88" s="391">
        <v>58</v>
      </c>
      <c r="H88" s="303"/>
      <c r="I88" s="324"/>
      <c r="J88" s="519">
        <v>8</v>
      </c>
      <c r="K88" s="518">
        <v>8</v>
      </c>
      <c r="L88" s="187"/>
      <c r="N88" s="40">
        <f t="shared" si="6"/>
        <v>17953.771200000003</v>
      </c>
      <c r="O88" s="40">
        <v>112211.07</v>
      </c>
    </row>
    <row r="89" spans="1:16" x14ac:dyDescent="0.3">
      <c r="A89" s="395">
        <v>46087</v>
      </c>
      <c r="B89" s="21" t="s">
        <v>962</v>
      </c>
      <c r="C89" s="465" t="s">
        <v>302</v>
      </c>
      <c r="D89" s="73" t="s">
        <v>307</v>
      </c>
      <c r="E89" s="219"/>
      <c r="F89" s="370"/>
      <c r="G89" s="391">
        <v>1392</v>
      </c>
      <c r="H89" s="303"/>
      <c r="I89" s="324"/>
      <c r="J89" s="519">
        <v>192</v>
      </c>
      <c r="K89" s="518">
        <v>192</v>
      </c>
      <c r="L89" s="187"/>
      <c r="N89" s="40">
        <f t="shared" si="6"/>
        <v>431048.87040000001</v>
      </c>
      <c r="O89" s="40">
        <v>2694055.44</v>
      </c>
    </row>
    <row r="90" spans="1:16" x14ac:dyDescent="0.3">
      <c r="A90" s="395">
        <v>46088</v>
      </c>
      <c r="B90" s="21" t="s">
        <v>397</v>
      </c>
      <c r="C90" s="463" t="s">
        <v>523</v>
      </c>
      <c r="D90" s="73" t="s">
        <v>495</v>
      </c>
      <c r="E90" s="219"/>
      <c r="F90" s="370">
        <v>360</v>
      </c>
      <c r="G90" s="391"/>
      <c r="H90" s="392">
        <v>417.6</v>
      </c>
      <c r="I90" s="324"/>
      <c r="J90" s="519">
        <v>57.6</v>
      </c>
      <c r="K90" s="518">
        <v>57.6</v>
      </c>
      <c r="L90" s="187"/>
      <c r="N90" s="40">
        <f t="shared" si="6"/>
        <v>127714.6352</v>
      </c>
      <c r="O90" s="40">
        <v>798216.47</v>
      </c>
    </row>
    <row r="91" spans="1:16" x14ac:dyDescent="0.3">
      <c r="A91" s="395">
        <v>46090</v>
      </c>
      <c r="B91" s="21" t="s">
        <v>963</v>
      </c>
      <c r="C91" s="468"/>
      <c r="D91" s="73" t="s">
        <v>719</v>
      </c>
      <c r="E91" s="219"/>
      <c r="F91" s="370"/>
      <c r="G91" s="391">
        <v>1231.3499999999999</v>
      </c>
      <c r="H91" s="303"/>
      <c r="I91" s="324"/>
      <c r="J91" s="519">
        <f>84.38+85.46</f>
        <v>169.83999999999997</v>
      </c>
      <c r="K91" s="518">
        <v>169.84</v>
      </c>
      <c r="L91" s="187"/>
      <c r="N91" s="40">
        <f t="shared" si="6"/>
        <v>376563.17439999996</v>
      </c>
      <c r="O91" s="40">
        <f>1139476.5+1214043.34</f>
        <v>2353519.84</v>
      </c>
    </row>
    <row r="92" spans="1:16" x14ac:dyDescent="0.3">
      <c r="A92" s="395">
        <v>46090</v>
      </c>
      <c r="B92" s="398" t="s">
        <v>960</v>
      </c>
      <c r="C92" s="463" t="s">
        <v>252</v>
      </c>
      <c r="D92" s="73" t="s">
        <v>249</v>
      </c>
      <c r="E92" s="219"/>
      <c r="F92" s="370"/>
      <c r="G92" s="391"/>
      <c r="H92" s="392">
        <v>15387.4</v>
      </c>
      <c r="I92" s="324"/>
      <c r="J92" s="519">
        <v>2122.4</v>
      </c>
      <c r="K92" s="518">
        <v>2122.4</v>
      </c>
      <c r="L92" s="187"/>
      <c r="N92" s="40">
        <f t="shared" si="6"/>
        <v>4652480.7856000001</v>
      </c>
      <c r="O92" s="40">
        <v>29078004.91</v>
      </c>
    </row>
    <row r="93" spans="1:16" x14ac:dyDescent="0.3">
      <c r="A93" s="395">
        <v>46091</v>
      </c>
      <c r="B93" s="21" t="s">
        <v>240</v>
      </c>
      <c r="C93" s="465" t="s">
        <v>512</v>
      </c>
      <c r="D93" s="73" t="s">
        <v>501</v>
      </c>
      <c r="E93" s="219"/>
      <c r="F93" s="370"/>
      <c r="G93" s="391"/>
      <c r="H93" s="303"/>
      <c r="I93" s="324">
        <v>500</v>
      </c>
      <c r="J93" s="519"/>
      <c r="K93" s="518"/>
      <c r="L93" s="187"/>
      <c r="P93" s="40">
        <v>1122110.75</v>
      </c>
    </row>
    <row r="94" spans="1:16" x14ac:dyDescent="0.3">
      <c r="A94" s="395">
        <v>46091</v>
      </c>
      <c r="B94" s="399" t="s">
        <v>964</v>
      </c>
      <c r="C94" s="465" t="s">
        <v>350</v>
      </c>
      <c r="D94" s="73" t="s">
        <v>360</v>
      </c>
      <c r="E94" s="219"/>
      <c r="F94" s="370"/>
      <c r="G94" s="393">
        <v>319</v>
      </c>
      <c r="H94" s="303"/>
      <c r="I94" s="324"/>
      <c r="J94" s="519">
        <v>44</v>
      </c>
      <c r="K94" s="518">
        <v>44</v>
      </c>
      <c r="L94" s="187"/>
      <c r="N94" s="40">
        <f t="shared" si="6"/>
        <v>100007.70080000001</v>
      </c>
      <c r="O94" s="40">
        <v>625048.13</v>
      </c>
    </row>
    <row r="95" spans="1:16" x14ac:dyDescent="0.3">
      <c r="A95" s="395">
        <v>46093</v>
      </c>
      <c r="B95" s="21" t="s">
        <v>962</v>
      </c>
      <c r="C95" s="465" t="s">
        <v>508</v>
      </c>
      <c r="D95" s="73" t="s">
        <v>502</v>
      </c>
      <c r="E95" s="219"/>
      <c r="F95" s="370"/>
      <c r="G95" s="391">
        <v>1392</v>
      </c>
      <c r="H95" s="303"/>
      <c r="I95" s="324"/>
      <c r="J95" s="519">
        <v>192</v>
      </c>
      <c r="K95" s="518">
        <v>192</v>
      </c>
      <c r="L95" s="187"/>
      <c r="N95" s="40">
        <f t="shared" si="6"/>
        <v>430890.52799999999</v>
      </c>
      <c r="O95" s="40">
        <v>2693065.8</v>
      </c>
    </row>
    <row r="96" spans="1:16" x14ac:dyDescent="0.3">
      <c r="A96" s="395">
        <v>46093</v>
      </c>
      <c r="B96" s="21" t="s">
        <v>397</v>
      </c>
      <c r="C96" s="465" t="s">
        <v>563</v>
      </c>
      <c r="D96" s="73" t="s">
        <v>551</v>
      </c>
      <c r="E96" s="219"/>
      <c r="F96" s="370"/>
      <c r="G96" s="391">
        <v>406</v>
      </c>
      <c r="H96" s="303"/>
      <c r="I96" s="324"/>
      <c r="J96" s="519">
        <v>56</v>
      </c>
      <c r="K96" s="518">
        <v>56</v>
      </c>
      <c r="L96" s="187"/>
      <c r="N96" s="40">
        <f t="shared" si="6"/>
        <v>120276.28480000001</v>
      </c>
      <c r="O96" s="40">
        <v>751726.78</v>
      </c>
    </row>
    <row r="97" spans="1:16" x14ac:dyDescent="0.3">
      <c r="A97" s="395">
        <v>46094</v>
      </c>
      <c r="B97" s="399" t="s">
        <v>961</v>
      </c>
      <c r="C97" s="465" t="s">
        <v>565</v>
      </c>
      <c r="D97" s="73" t="s">
        <v>552</v>
      </c>
      <c r="E97" s="219"/>
      <c r="F97" s="370"/>
      <c r="G97" s="391">
        <v>696</v>
      </c>
      <c r="H97" s="303"/>
      <c r="I97" s="324"/>
      <c r="J97" s="519">
        <v>96</v>
      </c>
      <c r="K97" s="518">
        <v>96</v>
      </c>
      <c r="L97" s="187"/>
      <c r="N97" s="40">
        <f t="shared" si="6"/>
        <v>206187.91680000001</v>
      </c>
      <c r="O97" s="40">
        <v>1288674.48</v>
      </c>
    </row>
    <row r="98" spans="1:16" x14ac:dyDescent="0.3">
      <c r="A98" s="395">
        <v>46100</v>
      </c>
      <c r="B98" s="400" t="s">
        <v>965</v>
      </c>
      <c r="C98" s="463" t="s">
        <v>603</v>
      </c>
      <c r="D98" s="73" t="s">
        <v>592</v>
      </c>
      <c r="E98" s="219"/>
      <c r="F98" s="370"/>
      <c r="G98" s="391"/>
      <c r="H98" s="392">
        <v>293.48</v>
      </c>
      <c r="I98" s="324"/>
      <c r="J98" s="519">
        <v>40.479999999999997</v>
      </c>
      <c r="K98" s="518">
        <v>40.479999999999997</v>
      </c>
      <c r="L98" s="187"/>
      <c r="N98" s="40">
        <f t="shared" si="6"/>
        <v>90706.060800000007</v>
      </c>
      <c r="O98" s="40">
        <v>566912.88</v>
      </c>
    </row>
    <row r="99" spans="1:16" x14ac:dyDescent="0.3">
      <c r="A99" s="395">
        <v>46102</v>
      </c>
      <c r="B99" s="400" t="s">
        <v>963</v>
      </c>
      <c r="C99" s="468"/>
      <c r="D99" s="73" t="s">
        <v>720</v>
      </c>
      <c r="E99" s="219"/>
      <c r="F99" s="370"/>
      <c r="G99" s="391">
        <v>11626.73</v>
      </c>
      <c r="H99" s="303"/>
      <c r="I99" s="324"/>
      <c r="J99" s="519">
        <f>1293.6+226.56+83.53</f>
        <v>1603.6899999999998</v>
      </c>
      <c r="K99" s="518">
        <v>1603.69</v>
      </c>
      <c r="L99" s="187"/>
      <c r="N99" s="40">
        <f t="shared" si="6"/>
        <v>3421062.8736</v>
      </c>
      <c r="O99" s="40">
        <f>17070411.12+3139651.49+1171580.35</f>
        <v>21381642.960000001</v>
      </c>
    </row>
    <row r="100" spans="1:16" x14ac:dyDescent="0.3">
      <c r="A100" s="395">
        <v>46102</v>
      </c>
      <c r="B100" s="400" t="s">
        <v>966</v>
      </c>
      <c r="C100" s="463" t="s">
        <v>446</v>
      </c>
      <c r="D100" s="73" t="s">
        <v>437</v>
      </c>
      <c r="E100" s="219"/>
      <c r="F100" s="370"/>
      <c r="G100" s="391"/>
      <c r="H100" s="392">
        <v>1745.8</v>
      </c>
      <c r="I100" s="324"/>
      <c r="J100" s="519">
        <f>'FACTURES NORMALISEES'!F106</f>
        <v>240.79999999999995</v>
      </c>
      <c r="K100" s="518">
        <v>240.8</v>
      </c>
      <c r="L100" s="187"/>
      <c r="N100" s="40">
        <f t="shared" si="6"/>
        <v>508417.43840000004</v>
      </c>
      <c r="O100" s="40">
        <v>3177608.99</v>
      </c>
    </row>
    <row r="101" spans="1:16" x14ac:dyDescent="0.3">
      <c r="A101" s="130"/>
      <c r="B101" s="21"/>
      <c r="C101" s="315"/>
      <c r="D101" s="76"/>
      <c r="E101" s="219"/>
      <c r="F101" s="370"/>
      <c r="G101" s="302"/>
      <c r="H101" s="303"/>
      <c r="I101" s="324"/>
      <c r="J101" s="519"/>
      <c r="K101" s="518"/>
      <c r="L101" s="187"/>
    </row>
    <row r="102" spans="1:16" x14ac:dyDescent="0.3">
      <c r="A102" s="395">
        <v>46084</v>
      </c>
      <c r="B102" s="399" t="s">
        <v>967</v>
      </c>
      <c r="C102" s="463" t="s">
        <v>377</v>
      </c>
      <c r="D102" s="73" t="s">
        <v>376</v>
      </c>
      <c r="E102" s="219"/>
      <c r="F102" s="370"/>
      <c r="G102" s="302"/>
      <c r="H102" s="478">
        <v>1136</v>
      </c>
      <c r="I102" s="324"/>
      <c r="J102" s="519">
        <v>156.80000000000001</v>
      </c>
      <c r="K102" s="518">
        <v>156.80000000000001</v>
      </c>
      <c r="L102" s="187"/>
      <c r="N102" s="40">
        <f t="shared" si="6"/>
        <v>356252.12479999999</v>
      </c>
      <c r="O102" s="40">
        <v>2226575.7799999998</v>
      </c>
    </row>
    <row r="103" spans="1:16" x14ac:dyDescent="0.3">
      <c r="A103" s="395">
        <v>46085</v>
      </c>
      <c r="B103" s="136" t="s">
        <v>960</v>
      </c>
      <c r="C103" s="463" t="s">
        <v>723</v>
      </c>
      <c r="D103" s="73" t="s">
        <v>722</v>
      </c>
      <c r="E103" s="219"/>
      <c r="F103" s="370"/>
      <c r="G103" s="302"/>
      <c r="H103" s="478">
        <v>2876.4</v>
      </c>
      <c r="I103" s="324"/>
      <c r="J103" s="519">
        <f>'FACTURES NORMALISEES'!F107+'FACTURES NORMALISEES'!G110</f>
        <v>315.39999999999986</v>
      </c>
      <c r="K103" s="518">
        <v>315.39999999999998</v>
      </c>
      <c r="L103" s="187"/>
      <c r="N103" s="40">
        <f t="shared" si="6"/>
        <v>842647.43359999999</v>
      </c>
      <c r="O103" s="40">
        <f>2388506.79+2878039.67</f>
        <v>5266546.46</v>
      </c>
    </row>
    <row r="104" spans="1:16" x14ac:dyDescent="0.3">
      <c r="A104" s="395">
        <v>46086</v>
      </c>
      <c r="B104" s="401" t="s">
        <v>721</v>
      </c>
      <c r="C104" s="469"/>
      <c r="D104" s="76"/>
      <c r="E104" s="219"/>
      <c r="F104" s="370"/>
      <c r="G104" s="302"/>
      <c r="H104" s="479">
        <f>2894.2-2894.2</f>
        <v>0</v>
      </c>
      <c r="I104" s="324"/>
      <c r="J104" s="519"/>
      <c r="K104" s="518"/>
      <c r="L104" s="187"/>
      <c r="N104" s="406">
        <f t="shared" si="6"/>
        <v>0</v>
      </c>
    </row>
    <row r="105" spans="1:16" ht="15.6" x14ac:dyDescent="0.3">
      <c r="A105" s="395">
        <v>46087</v>
      </c>
      <c r="B105" s="402" t="s">
        <v>968</v>
      </c>
      <c r="C105" s="465" t="s">
        <v>724</v>
      </c>
      <c r="D105" s="73" t="s">
        <v>725</v>
      </c>
      <c r="E105" s="219"/>
      <c r="F105" s="370"/>
      <c r="G105" s="302"/>
      <c r="H105" s="478">
        <v>336.79</v>
      </c>
      <c r="I105" s="324"/>
      <c r="J105" s="519">
        <f>+'FACTURES NORMALISEES'!G102+'FACTURES NORMALISEES'!G103</f>
        <v>46.453793103448248</v>
      </c>
      <c r="K105" s="518">
        <v>46.45</v>
      </c>
      <c r="L105" s="187"/>
      <c r="N105" s="40">
        <f t="shared" si="6"/>
        <v>98081.055999999997</v>
      </c>
      <c r="O105" s="40">
        <f>287109.66+325896.94</f>
        <v>613006.6</v>
      </c>
    </row>
    <row r="106" spans="1:16" x14ac:dyDescent="0.3">
      <c r="A106" s="395">
        <v>46090</v>
      </c>
      <c r="B106" s="136" t="s">
        <v>395</v>
      </c>
      <c r="C106" s="470"/>
      <c r="D106" s="73" t="s">
        <v>726</v>
      </c>
      <c r="E106" s="219"/>
      <c r="F106" s="370"/>
      <c r="G106" s="302"/>
      <c r="H106" s="480">
        <v>901.38</v>
      </c>
      <c r="I106" s="324"/>
      <c r="J106" s="519">
        <f>+'FACTURES NORMALISEES'!G60+'FACTURES NORMALISEES'!G96+'FACTURES NORMALISEES'!G97+'FACTURES NORMALISEES'!G98</f>
        <v>146.15999999999997</v>
      </c>
      <c r="K106" s="518">
        <v>146.16</v>
      </c>
      <c r="L106" s="187"/>
      <c r="N106" s="40">
        <f t="shared" si="6"/>
        <v>311517.08960000001</v>
      </c>
      <c r="O106" s="40">
        <f>306448.8+221693.65+532064.76+886774.6</f>
        <v>1946981.81</v>
      </c>
    </row>
    <row r="107" spans="1:16" x14ac:dyDescent="0.3">
      <c r="A107" s="395">
        <v>46091</v>
      </c>
      <c r="B107" s="136" t="s">
        <v>969</v>
      </c>
      <c r="C107" s="465" t="s">
        <v>731</v>
      </c>
      <c r="D107" s="73" t="s">
        <v>727</v>
      </c>
      <c r="E107" s="219"/>
      <c r="F107" s="370"/>
      <c r="G107" s="302"/>
      <c r="H107" s="480">
        <v>395.34</v>
      </c>
      <c r="I107" s="324"/>
      <c r="J107" s="519">
        <f>+'FACTURES NORMALISEES'!G13+'FACTURES NORMALISEES'!G74</f>
        <v>54.529655172413783</v>
      </c>
      <c r="K107" s="518">
        <v>54.53</v>
      </c>
      <c r="L107" s="187"/>
      <c r="N107" s="40">
        <f t="shared" si="6"/>
        <v>121656.65119999999</v>
      </c>
      <c r="O107" s="40">
        <f>363595.47+396758.6</f>
        <v>760354.07</v>
      </c>
    </row>
    <row r="108" spans="1:16" x14ac:dyDescent="0.3">
      <c r="A108" s="395">
        <v>46099</v>
      </c>
      <c r="B108" s="136" t="s">
        <v>231</v>
      </c>
      <c r="C108" s="465" t="s">
        <v>322</v>
      </c>
      <c r="D108" s="73" t="s">
        <v>335</v>
      </c>
      <c r="E108" s="219"/>
      <c r="F108" s="370"/>
      <c r="G108" s="302"/>
      <c r="H108" s="480"/>
      <c r="I108" s="396">
        <v>700</v>
      </c>
      <c r="J108" s="519"/>
      <c r="K108" s="518"/>
      <c r="L108" s="187"/>
      <c r="N108" s="40">
        <f t="shared" si="6"/>
        <v>0</v>
      </c>
      <c r="P108" s="405">
        <v>1591031.61</v>
      </c>
    </row>
    <row r="109" spans="1:16" x14ac:dyDescent="0.3">
      <c r="A109" s="395">
        <v>46099</v>
      </c>
      <c r="B109" s="136" t="s">
        <v>373</v>
      </c>
      <c r="C109" s="465" t="s">
        <v>326</v>
      </c>
      <c r="D109" s="73" t="s">
        <v>343</v>
      </c>
      <c r="E109" s="219"/>
      <c r="F109" s="370"/>
      <c r="G109" s="302"/>
      <c r="H109" s="480"/>
      <c r="I109" s="396">
        <v>157.5</v>
      </c>
      <c r="J109" s="519"/>
      <c r="K109" s="518"/>
      <c r="L109" s="187"/>
      <c r="N109" s="40">
        <f t="shared" si="6"/>
        <v>0</v>
      </c>
      <c r="P109" s="405">
        <v>357982.11</v>
      </c>
    </row>
    <row r="110" spans="1:16" x14ac:dyDescent="0.3">
      <c r="A110" s="395">
        <v>46099</v>
      </c>
      <c r="B110" s="136" t="s">
        <v>373</v>
      </c>
      <c r="C110" s="465" t="s">
        <v>732</v>
      </c>
      <c r="D110" s="73" t="s">
        <v>76</v>
      </c>
      <c r="E110" s="219"/>
      <c r="F110" s="370"/>
      <c r="G110" s="302"/>
      <c r="H110" s="480"/>
      <c r="I110" s="396">
        <v>150</v>
      </c>
      <c r="J110" s="519"/>
      <c r="K110" s="518"/>
      <c r="L110" s="187"/>
      <c r="N110" s="40">
        <f t="shared" si="6"/>
        <v>0</v>
      </c>
      <c r="P110" s="40">
        <v>320869.32</v>
      </c>
    </row>
    <row r="111" spans="1:16" x14ac:dyDescent="0.3">
      <c r="A111" s="395">
        <v>46104</v>
      </c>
      <c r="B111" s="136" t="s">
        <v>231</v>
      </c>
      <c r="C111" s="465" t="s">
        <v>506</v>
      </c>
      <c r="D111" s="73" t="s">
        <v>504</v>
      </c>
      <c r="E111" s="219"/>
      <c r="F111" s="370"/>
      <c r="G111" s="302"/>
      <c r="H111" s="480"/>
      <c r="I111" s="396">
        <v>700</v>
      </c>
      <c r="J111" s="519"/>
      <c r="K111" s="518"/>
      <c r="L111" s="187"/>
      <c r="N111" s="40">
        <f t="shared" si="6"/>
        <v>0</v>
      </c>
      <c r="P111" s="40">
        <v>1570955.05</v>
      </c>
    </row>
    <row r="112" spans="1:16" x14ac:dyDescent="0.3">
      <c r="A112" s="395">
        <v>46108</v>
      </c>
      <c r="B112" s="136" t="s">
        <v>963</v>
      </c>
      <c r="C112" s="470"/>
      <c r="D112" s="73" t="s">
        <v>493</v>
      </c>
      <c r="E112" s="219"/>
      <c r="F112" s="370"/>
      <c r="G112" s="302"/>
      <c r="H112" s="480">
        <v>1044</v>
      </c>
      <c r="I112" s="324"/>
      <c r="J112" s="519">
        <f>+'FACTURES NORMALISEES'!F117</f>
        <v>143.99999999999989</v>
      </c>
      <c r="K112" s="520">
        <v>0</v>
      </c>
      <c r="L112" s="187"/>
      <c r="N112" s="407">
        <f t="shared" si="6"/>
        <v>319286.592</v>
      </c>
      <c r="O112" s="501">
        <v>1995541.2</v>
      </c>
    </row>
    <row r="113" spans="1:16" x14ac:dyDescent="0.3">
      <c r="A113" s="395">
        <v>46108</v>
      </c>
      <c r="B113" s="136" t="s">
        <v>970</v>
      </c>
      <c r="C113" s="470"/>
      <c r="D113" s="73" t="s">
        <v>728</v>
      </c>
      <c r="E113" s="219"/>
      <c r="F113" s="370"/>
      <c r="G113" s="302"/>
      <c r="H113" s="480">
        <v>10718.4</v>
      </c>
      <c r="I113" s="324"/>
      <c r="J113" s="519">
        <f>+'FACTURES NORMALISEES'!F55+'FACTURES NORMALISEES'!F56</f>
        <v>1478.3999999999994</v>
      </c>
      <c r="K113" s="520">
        <v>0</v>
      </c>
      <c r="L113" s="187"/>
      <c r="N113" s="407">
        <f t="shared" si="6"/>
        <v>3150079.8079999997</v>
      </c>
      <c r="O113" s="501">
        <f>19196971.81+491026.99</f>
        <v>19687998.799999997</v>
      </c>
    </row>
    <row r="114" spans="1:16" ht="15.6" x14ac:dyDescent="0.3">
      <c r="A114" s="395">
        <v>46108</v>
      </c>
      <c r="B114" s="402" t="s">
        <v>968</v>
      </c>
      <c r="C114" s="465" t="s">
        <v>733</v>
      </c>
      <c r="D114" s="73" t="s">
        <v>729</v>
      </c>
      <c r="E114" s="219"/>
      <c r="F114" s="370"/>
      <c r="G114" s="302"/>
      <c r="H114" s="480">
        <v>336.79</v>
      </c>
      <c r="I114" s="324"/>
      <c r="J114" s="519">
        <f>+'FACTURES NORMALISEES'!G159+'FACTURES NORMALISEES'!G165</f>
        <v>46.453793103448248</v>
      </c>
      <c r="K114" s="520">
        <v>0</v>
      </c>
      <c r="L114" s="187"/>
      <c r="N114" s="407">
        <f t="shared" si="6"/>
        <v>105711.4816</v>
      </c>
      <c r="O114" s="501">
        <f>351250.79+309445.97</f>
        <v>660696.76</v>
      </c>
    </row>
    <row r="115" spans="1:16" x14ac:dyDescent="0.3">
      <c r="A115" s="395">
        <v>46111</v>
      </c>
      <c r="B115" s="404" t="s">
        <v>971</v>
      </c>
      <c r="C115" s="470"/>
      <c r="D115" s="76"/>
      <c r="E115" s="219"/>
      <c r="F115" s="370"/>
      <c r="G115" s="302"/>
      <c r="H115" s="479">
        <f>11903.79-11903.79</f>
        <v>0</v>
      </c>
      <c r="I115" s="324"/>
      <c r="J115" s="519"/>
      <c r="K115" s="520">
        <v>0</v>
      </c>
      <c r="L115" s="187"/>
      <c r="N115" s="406">
        <f t="shared" si="6"/>
        <v>0</v>
      </c>
      <c r="O115" s="501"/>
    </row>
    <row r="116" spans="1:16" x14ac:dyDescent="0.3">
      <c r="A116" s="395">
        <v>46112</v>
      </c>
      <c r="B116" s="136" t="s">
        <v>967</v>
      </c>
      <c r="C116" s="463" t="s">
        <v>730</v>
      </c>
      <c r="D116" s="73" t="s">
        <v>670</v>
      </c>
      <c r="E116" s="219"/>
      <c r="F116" s="370"/>
      <c r="G116" s="302"/>
      <c r="H116" s="480">
        <v>13125.4</v>
      </c>
      <c r="I116" s="324"/>
      <c r="J116" s="519">
        <f>+'FACTURES NORMALISEES'!F174</f>
        <v>1810.3999999999996</v>
      </c>
      <c r="K116" s="520">
        <v>0</v>
      </c>
      <c r="L116" s="187"/>
      <c r="N116" s="407">
        <f t="shared" si="6"/>
        <v>4136475.2416000003</v>
      </c>
      <c r="O116" s="501">
        <v>25852970.260000002</v>
      </c>
    </row>
    <row r="117" spans="1:16" x14ac:dyDescent="0.3">
      <c r="A117" s="448"/>
      <c r="B117" s="449"/>
      <c r="C117" s="499"/>
      <c r="D117" s="450"/>
      <c r="E117" s="289"/>
      <c r="F117" s="374"/>
      <c r="G117" s="311"/>
      <c r="H117" s="500"/>
      <c r="I117" s="325"/>
      <c r="J117" s="521"/>
      <c r="K117" s="522"/>
      <c r="L117" s="187"/>
      <c r="N117" s="451"/>
      <c r="O117" s="501"/>
    </row>
    <row r="118" spans="1:16" x14ac:dyDescent="0.3">
      <c r="A118" s="448"/>
      <c r="B118" s="449"/>
      <c r="C118" s="499"/>
      <c r="D118" s="450"/>
      <c r="E118" s="289"/>
      <c r="F118" s="374"/>
      <c r="G118" s="311"/>
      <c r="H118" s="500"/>
      <c r="I118" s="325"/>
      <c r="J118" s="521"/>
      <c r="K118" s="522"/>
      <c r="L118" s="187"/>
      <c r="N118" s="407">
        <f t="shared" si="6"/>
        <v>-319286.592</v>
      </c>
      <c r="O118" s="501">
        <v>-1995541.2</v>
      </c>
    </row>
    <row r="119" spans="1:16" x14ac:dyDescent="0.3">
      <c r="A119" s="448"/>
      <c r="B119" s="449"/>
      <c r="C119" s="499"/>
      <c r="D119" s="450"/>
      <c r="E119" s="289"/>
      <c r="F119" s="374"/>
      <c r="G119" s="311"/>
      <c r="H119" s="500"/>
      <c r="I119" s="325"/>
      <c r="J119" s="521"/>
      <c r="K119" s="522"/>
      <c r="L119" s="187"/>
      <c r="N119" s="407">
        <f t="shared" si="6"/>
        <v>-3150079.8079999997</v>
      </c>
      <c r="O119" s="501">
        <f>-19196971.81-491026.99</f>
        <v>-19687998.799999997</v>
      </c>
    </row>
    <row r="120" spans="1:16" x14ac:dyDescent="0.3">
      <c r="A120" s="448"/>
      <c r="B120" s="449"/>
      <c r="C120" s="499"/>
      <c r="D120" s="450"/>
      <c r="E120" s="289"/>
      <c r="F120" s="374"/>
      <c r="G120" s="311"/>
      <c r="H120" s="500"/>
      <c r="I120" s="325"/>
      <c r="J120" s="521"/>
      <c r="K120" s="522"/>
      <c r="L120" s="187"/>
      <c r="N120" s="407">
        <f t="shared" si="6"/>
        <v>-105711.4816</v>
      </c>
      <c r="O120" s="501">
        <f>-351250.79-309445.97</f>
        <v>-660696.76</v>
      </c>
    </row>
    <row r="121" spans="1:16" x14ac:dyDescent="0.3">
      <c r="A121" s="448"/>
      <c r="B121" s="449"/>
      <c r="C121" s="499"/>
      <c r="D121" s="450"/>
      <c r="E121" s="289"/>
      <c r="F121" s="374"/>
      <c r="G121" s="311"/>
      <c r="H121" s="500"/>
      <c r="I121" s="325"/>
      <c r="J121" s="521"/>
      <c r="K121" s="522"/>
      <c r="L121" s="187"/>
      <c r="N121" s="407">
        <f t="shared" si="6"/>
        <v>0</v>
      </c>
      <c r="O121" s="501"/>
    </row>
    <row r="122" spans="1:16" x14ac:dyDescent="0.3">
      <c r="A122" s="448"/>
      <c r="B122" s="449"/>
      <c r="C122" s="499"/>
      <c r="D122" s="450"/>
      <c r="E122" s="289"/>
      <c r="F122" s="374"/>
      <c r="G122" s="311"/>
      <c r="H122" s="500"/>
      <c r="I122" s="325"/>
      <c r="J122" s="521"/>
      <c r="K122" s="522"/>
      <c r="L122" s="187"/>
      <c r="N122" s="407">
        <f t="shared" si="6"/>
        <v>-4136475.2416000003</v>
      </c>
      <c r="O122" s="501">
        <v>-25852970.260000002</v>
      </c>
    </row>
    <row r="123" spans="1:16" x14ac:dyDescent="0.3">
      <c r="A123" s="448"/>
      <c r="B123" s="449"/>
      <c r="C123" s="499"/>
      <c r="D123" s="450"/>
      <c r="E123" s="289"/>
      <c r="F123" s="374"/>
      <c r="G123" s="311"/>
      <c r="H123" s="500"/>
      <c r="I123" s="325"/>
      <c r="J123" s="521"/>
      <c r="K123" s="522"/>
      <c r="L123" s="187"/>
      <c r="N123" s="407" t="e">
        <f>-N83</f>
        <v>#REF!</v>
      </c>
      <c r="O123" s="501" t="e">
        <f>-O83</f>
        <v>#REF!</v>
      </c>
    </row>
    <row r="124" spans="1:16" ht="16.8" customHeight="1" thickBot="1" x14ac:dyDescent="0.35">
      <c r="A124" s="131"/>
      <c r="B124" s="320"/>
      <c r="C124" s="337"/>
      <c r="D124" s="373"/>
      <c r="E124" s="339"/>
      <c r="F124" s="374"/>
      <c r="G124" s="311"/>
      <c r="H124" s="312"/>
      <c r="I124" s="325"/>
      <c r="J124" s="521"/>
      <c r="K124" s="523"/>
      <c r="L124" s="187"/>
    </row>
    <row r="125" spans="1:16" s="355" customFormat="1" ht="16.2" thickBot="1" x14ac:dyDescent="0.35">
      <c r="A125" s="403"/>
      <c r="B125" s="414">
        <v>46082</v>
      </c>
      <c r="C125" s="464"/>
      <c r="D125" s="375"/>
      <c r="E125" s="376">
        <f t="shared" ref="E125:K125" si="7">SUM(E76:E124)</f>
        <v>2950.4224137931033</v>
      </c>
      <c r="F125" s="384">
        <f t="shared" si="7"/>
        <v>15727.991379310344</v>
      </c>
      <c r="G125" s="376" t="e">
        <f t="shared" si="7"/>
        <v>#REF!</v>
      </c>
      <c r="H125" s="376" t="e">
        <f t="shared" si="7"/>
        <v>#REF!</v>
      </c>
      <c r="I125" s="377">
        <f t="shared" si="7"/>
        <v>2207.5</v>
      </c>
      <c r="J125" s="502">
        <f t="shared" si="7"/>
        <v>12266.754137931031</v>
      </c>
      <c r="K125" s="503">
        <f t="shared" si="7"/>
        <v>6392.61</v>
      </c>
      <c r="L125" s="354"/>
      <c r="N125" s="363" t="e">
        <f>SUM(N75:N124)</f>
        <v>#REF!</v>
      </c>
      <c r="O125" s="364" t="e">
        <f>SUM(O75:O124)</f>
        <v>#REF!</v>
      </c>
      <c r="P125" s="364">
        <f>SUM(P75:P124)</f>
        <v>4962948.84</v>
      </c>
    </row>
    <row r="126" spans="1:16" x14ac:dyDescent="0.3">
      <c r="A126" s="210"/>
      <c r="B126" s="367"/>
      <c r="C126" s="344"/>
      <c r="D126" s="345"/>
      <c r="E126" s="371"/>
      <c r="F126" s="415"/>
      <c r="G126" s="347"/>
      <c r="H126" s="348"/>
      <c r="I126" s="323"/>
      <c r="J126" s="524"/>
      <c r="K126" s="525"/>
      <c r="L126" s="187"/>
    </row>
    <row r="127" spans="1:16" x14ac:dyDescent="0.3">
      <c r="A127" s="394">
        <v>46121</v>
      </c>
      <c r="B127" s="397" t="s">
        <v>958</v>
      </c>
      <c r="C127" s="344"/>
      <c r="D127" s="421" t="s">
        <v>678</v>
      </c>
      <c r="E127" s="371"/>
      <c r="F127" s="416"/>
      <c r="G127" s="387">
        <v>274.05</v>
      </c>
      <c r="H127" s="348"/>
      <c r="I127" s="323"/>
      <c r="J127" s="524">
        <f>'FACTURES NORMALISEES'!G182</f>
        <v>37.799999999999983</v>
      </c>
      <c r="K127" s="525">
        <v>37.799999999999997</v>
      </c>
      <c r="L127" s="187"/>
      <c r="N127" s="442" t="e">
        <f t="shared" ref="N127:N157" si="8">+O127*16%</f>
        <v>#REF!</v>
      </c>
      <c r="O127" s="40" t="e">
        <f>'FACTURES NORMALISEES'!#REF!</f>
        <v>#REF!</v>
      </c>
    </row>
    <row r="128" spans="1:16" x14ac:dyDescent="0.3">
      <c r="A128" s="394">
        <v>46121</v>
      </c>
      <c r="B128" s="397" t="s">
        <v>958</v>
      </c>
      <c r="C128" s="344"/>
      <c r="D128" s="421" t="s">
        <v>682</v>
      </c>
      <c r="E128" s="371"/>
      <c r="F128" s="416"/>
      <c r="G128" s="387">
        <v>174</v>
      </c>
      <c r="H128" s="348"/>
      <c r="I128" s="323"/>
      <c r="J128" s="524">
        <f>'FACTURES NORMALISEES'!G186</f>
        <v>24</v>
      </c>
      <c r="K128" s="525">
        <v>24</v>
      </c>
      <c r="L128" s="187"/>
      <c r="N128" s="442" t="e">
        <f t="shared" si="8"/>
        <v>#REF!</v>
      </c>
      <c r="O128" s="40" t="e">
        <f>'FACTURES NORMALISEES'!#REF!</f>
        <v>#REF!</v>
      </c>
    </row>
    <row r="129" spans="1:16" x14ac:dyDescent="0.3">
      <c r="A129" s="394">
        <v>46135</v>
      </c>
      <c r="B129" s="397" t="s">
        <v>959</v>
      </c>
      <c r="C129" s="344"/>
      <c r="D129" s="421" t="s">
        <v>676</v>
      </c>
      <c r="E129" s="371"/>
      <c r="F129" s="416"/>
      <c r="G129" s="387">
        <v>18982.580000000002</v>
      </c>
      <c r="H129" s="348"/>
      <c r="I129" s="323"/>
      <c r="J129" s="524">
        <f>'FACTURES NORMALISEES'!F180</f>
        <v>2618.2868965517227</v>
      </c>
      <c r="K129" s="525">
        <v>2618.29</v>
      </c>
      <c r="L129" s="187"/>
      <c r="N129" s="442" t="e">
        <f t="shared" si="8"/>
        <v>#REF!</v>
      </c>
      <c r="O129" s="40" t="e">
        <f>'FACTURES NORMALISEES'!#REF!</f>
        <v>#REF!</v>
      </c>
    </row>
    <row r="130" spans="1:16" x14ac:dyDescent="0.3">
      <c r="A130" s="394">
        <v>46142</v>
      </c>
      <c r="B130" s="397" t="s">
        <v>32</v>
      </c>
      <c r="C130" s="344"/>
      <c r="D130" s="421" t="s">
        <v>843</v>
      </c>
      <c r="E130" s="371"/>
      <c r="F130" s="416"/>
      <c r="G130" s="387">
        <v>464</v>
      </c>
      <c r="H130" s="348"/>
      <c r="I130" s="323"/>
      <c r="J130" s="524">
        <f>'FACTURES NORMALISEES'!F218</f>
        <v>64</v>
      </c>
      <c r="K130" s="525">
        <v>64</v>
      </c>
      <c r="L130" s="187"/>
      <c r="N130" s="442" t="e">
        <f t="shared" si="8"/>
        <v>#REF!</v>
      </c>
      <c r="O130" s="40" t="e">
        <f>'FACTURES NORMALISEES'!#REF!</f>
        <v>#REF!</v>
      </c>
    </row>
    <row r="131" spans="1:16" x14ac:dyDescent="0.3">
      <c r="A131" s="394">
        <v>46142</v>
      </c>
      <c r="B131" s="490" t="s">
        <v>933</v>
      </c>
      <c r="C131" s="344"/>
      <c r="D131" s="421" t="s">
        <v>835</v>
      </c>
      <c r="E131" s="371"/>
      <c r="F131" s="416"/>
      <c r="G131" s="387">
        <v>121.8</v>
      </c>
      <c r="H131" s="348"/>
      <c r="I131" s="323"/>
      <c r="J131" s="524"/>
      <c r="K131" s="525"/>
      <c r="L131" s="187"/>
      <c r="N131" s="445">
        <f t="shared" si="8"/>
        <v>0</v>
      </c>
    </row>
    <row r="132" spans="1:16" x14ac:dyDescent="0.3">
      <c r="A132" s="210"/>
      <c r="B132" s="21"/>
      <c r="C132" s="344"/>
      <c r="D132" s="421"/>
      <c r="E132" s="371"/>
      <c r="F132" s="416"/>
      <c r="G132" s="347"/>
      <c r="H132" s="348"/>
      <c r="I132" s="323"/>
      <c r="J132" s="524"/>
      <c r="K132" s="525"/>
      <c r="L132" s="187"/>
      <c r="N132" s="442"/>
    </row>
    <row r="133" spans="1:16" x14ac:dyDescent="0.3">
      <c r="A133" s="395">
        <v>46119</v>
      </c>
      <c r="B133" s="136" t="s">
        <v>967</v>
      </c>
      <c r="C133" s="344"/>
      <c r="D133" s="421" t="s">
        <v>677</v>
      </c>
      <c r="E133" s="371"/>
      <c r="F133" s="416"/>
      <c r="G133" s="481">
        <v>58</v>
      </c>
      <c r="H133" s="348"/>
      <c r="I133" s="323"/>
      <c r="J133" s="524">
        <f>'FACTURES NORMALISEES'!F181</f>
        <v>8</v>
      </c>
      <c r="K133" s="525">
        <v>8</v>
      </c>
      <c r="L133" s="187"/>
      <c r="N133" s="442" t="e">
        <f t="shared" si="8"/>
        <v>#REF!</v>
      </c>
      <c r="O133" s="40" t="e">
        <f>'FACTURES NORMALISEES'!#REF!</f>
        <v>#REF!</v>
      </c>
    </row>
    <row r="134" spans="1:16" x14ac:dyDescent="0.3">
      <c r="A134" s="395">
        <v>46129</v>
      </c>
      <c r="B134" s="399" t="s">
        <v>972</v>
      </c>
      <c r="C134" s="344"/>
      <c r="D134" s="421" t="s">
        <v>940</v>
      </c>
      <c r="E134" s="371"/>
      <c r="F134" s="416"/>
      <c r="G134" s="481">
        <v>594.5</v>
      </c>
      <c r="H134" s="348"/>
      <c r="I134" s="323"/>
      <c r="J134" s="524">
        <f>'FACTURES NORMALISEES'!G41+'FACTURES NORMALISEES'!G72</f>
        <v>81.999999999999972</v>
      </c>
      <c r="K134" s="525">
        <v>82</v>
      </c>
      <c r="L134" s="187"/>
      <c r="N134" s="442" t="e">
        <f t="shared" si="8"/>
        <v>#REF!</v>
      </c>
      <c r="O134" s="40" t="e">
        <f>'FACTURES NORMALISEES'!#REF!+'FACTURES NORMALISEES'!#REF!</f>
        <v>#REF!</v>
      </c>
    </row>
    <row r="135" spans="1:16" x14ac:dyDescent="0.3">
      <c r="A135" s="395">
        <v>46132</v>
      </c>
      <c r="B135" s="399" t="s">
        <v>395</v>
      </c>
      <c r="C135" s="344"/>
      <c r="D135" s="420" t="s">
        <v>934</v>
      </c>
      <c r="E135" s="371"/>
      <c r="F135" s="416"/>
      <c r="G135" s="482">
        <v>1517.28</v>
      </c>
      <c r="H135" s="348"/>
      <c r="I135" s="323"/>
      <c r="J135" s="542">
        <v>209.28</v>
      </c>
      <c r="K135" s="525"/>
      <c r="L135" s="187"/>
      <c r="N135" s="543">
        <f t="shared" si="8"/>
        <v>0</v>
      </c>
    </row>
    <row r="136" spans="1:16" x14ac:dyDescent="0.3">
      <c r="A136" s="395">
        <v>46140</v>
      </c>
      <c r="B136" s="399" t="s">
        <v>244</v>
      </c>
      <c r="C136" s="344"/>
      <c r="D136" s="421" t="s">
        <v>764</v>
      </c>
      <c r="E136" s="371"/>
      <c r="F136" s="416"/>
      <c r="G136" s="482">
        <v>700</v>
      </c>
      <c r="H136" s="348"/>
      <c r="I136" s="323"/>
      <c r="J136" s="526">
        <v>0</v>
      </c>
      <c r="K136" s="525"/>
      <c r="L136" s="187"/>
      <c r="N136" s="443">
        <f t="shared" si="8"/>
        <v>0</v>
      </c>
      <c r="P136" s="40" t="e">
        <f>'FACTURES NORMALISEES'!#REF!</f>
        <v>#REF!</v>
      </c>
    </row>
    <row r="137" spans="1:16" x14ac:dyDescent="0.3">
      <c r="A137" s="210"/>
      <c r="B137" s="21"/>
      <c r="C137" s="344"/>
      <c r="D137" s="421"/>
      <c r="E137" s="371"/>
      <c r="F137" s="416"/>
      <c r="G137" s="347"/>
      <c r="H137" s="348"/>
      <c r="I137" s="323"/>
      <c r="J137" s="524"/>
      <c r="K137" s="525"/>
      <c r="L137" s="187"/>
      <c r="N137" s="442"/>
    </row>
    <row r="138" spans="1:16" x14ac:dyDescent="0.3">
      <c r="A138" s="395">
        <v>46116</v>
      </c>
      <c r="B138" s="21" t="s">
        <v>963</v>
      </c>
      <c r="C138" s="344"/>
      <c r="D138" s="421" t="s">
        <v>589</v>
      </c>
      <c r="E138" s="371"/>
      <c r="F138" s="416"/>
      <c r="G138" s="393">
        <v>46.4</v>
      </c>
      <c r="H138" s="348"/>
      <c r="I138" s="323"/>
      <c r="J138" s="524">
        <f>'FACTURES NORMALISEES'!F143</f>
        <v>6.3999999999999986</v>
      </c>
      <c r="K138" s="525">
        <v>6.4</v>
      </c>
      <c r="L138" s="187"/>
      <c r="N138" s="442" t="e">
        <f t="shared" si="8"/>
        <v>#REF!</v>
      </c>
      <c r="O138" s="40" t="e">
        <f>'FACTURES NORMALISEES'!#REF!</f>
        <v>#REF!</v>
      </c>
    </row>
    <row r="139" spans="1:16" x14ac:dyDescent="0.3">
      <c r="A139" s="395">
        <v>46120</v>
      </c>
      <c r="B139" s="400" t="s">
        <v>240</v>
      </c>
      <c r="C139" s="344"/>
      <c r="D139" s="421" t="s">
        <v>664</v>
      </c>
      <c r="E139" s="371"/>
      <c r="F139" s="416"/>
      <c r="G139" s="391">
        <v>500</v>
      </c>
      <c r="H139" s="348"/>
      <c r="I139" s="323"/>
      <c r="J139" s="526">
        <v>0</v>
      </c>
      <c r="K139" s="527">
        <v>0</v>
      </c>
      <c r="L139" s="187"/>
      <c r="N139" s="443">
        <f t="shared" si="8"/>
        <v>0</v>
      </c>
      <c r="P139" s="40" t="e">
        <f>'FACTURES NORMALISEES'!#REF!</f>
        <v>#REF!</v>
      </c>
    </row>
    <row r="140" spans="1:16" x14ac:dyDescent="0.3">
      <c r="A140" s="395">
        <v>46120</v>
      </c>
      <c r="B140" s="400" t="s">
        <v>240</v>
      </c>
      <c r="C140" s="344"/>
      <c r="D140" s="421" t="s">
        <v>935</v>
      </c>
      <c r="E140" s="371"/>
      <c r="F140" s="416"/>
      <c r="G140" s="391">
        <v>2425</v>
      </c>
      <c r="H140" s="348"/>
      <c r="I140" s="323"/>
      <c r="J140" s="526">
        <v>0</v>
      </c>
      <c r="K140" s="527">
        <v>0</v>
      </c>
      <c r="L140" s="187"/>
      <c r="N140" s="443">
        <f t="shared" si="8"/>
        <v>0</v>
      </c>
      <c r="P140" s="40" t="e">
        <f>'FACTURES NORMALISEES'!#REF!+'FACTURES NORMALISEES'!#REF!</f>
        <v>#REF!</v>
      </c>
    </row>
    <row r="141" spans="1:16" x14ac:dyDescent="0.3">
      <c r="A141" s="395">
        <v>46121</v>
      </c>
      <c r="B141" s="400" t="s">
        <v>243</v>
      </c>
      <c r="C141" s="344"/>
      <c r="D141" s="421" t="s">
        <v>454</v>
      </c>
      <c r="E141" s="371"/>
      <c r="F141" s="416"/>
      <c r="G141" s="391">
        <v>250</v>
      </c>
      <c r="H141" s="348"/>
      <c r="I141" s="323"/>
      <c r="J141" s="526">
        <v>0</v>
      </c>
      <c r="K141" s="527">
        <v>0</v>
      </c>
      <c r="L141" s="187"/>
      <c r="N141" s="443">
        <f t="shared" si="8"/>
        <v>0</v>
      </c>
      <c r="P141" s="40" t="e">
        <f>'FACTURES NORMALISEES'!#REF!</f>
        <v>#REF!</v>
      </c>
    </row>
    <row r="142" spans="1:16" x14ac:dyDescent="0.3">
      <c r="A142" s="395">
        <v>46121</v>
      </c>
      <c r="B142" s="444" t="s">
        <v>397</v>
      </c>
      <c r="C142" s="344"/>
      <c r="D142" s="421" t="s">
        <v>681</v>
      </c>
      <c r="E142" s="371"/>
      <c r="F142" s="416"/>
      <c r="G142" s="391">
        <v>406</v>
      </c>
      <c r="H142" s="348"/>
      <c r="I142" s="323"/>
      <c r="J142" s="524">
        <f>'FACTURES NORMALISEES'!G185</f>
        <v>56</v>
      </c>
      <c r="K142" s="525">
        <v>56</v>
      </c>
      <c r="L142" s="187"/>
      <c r="N142" s="442">
        <f t="shared" si="8"/>
        <v>127924.0656</v>
      </c>
      <c r="O142" s="40">
        <v>799525.41</v>
      </c>
    </row>
    <row r="143" spans="1:16" x14ac:dyDescent="0.3">
      <c r="A143" s="395">
        <v>46124</v>
      </c>
      <c r="B143" s="440" t="s">
        <v>932</v>
      </c>
      <c r="C143" s="344"/>
      <c r="D143" s="421"/>
      <c r="E143" s="371"/>
      <c r="F143" s="416"/>
      <c r="G143" s="483">
        <f>47837.98-47837.98</f>
        <v>0</v>
      </c>
      <c r="H143" s="348"/>
      <c r="I143" s="323"/>
      <c r="J143" s="528">
        <v>0</v>
      </c>
      <c r="K143" s="525"/>
      <c r="L143" s="187"/>
      <c r="N143" s="442"/>
    </row>
    <row r="144" spans="1:16" x14ac:dyDescent="0.3">
      <c r="A144" s="395">
        <v>46124</v>
      </c>
      <c r="B144" s="21" t="s">
        <v>963</v>
      </c>
      <c r="C144" s="344"/>
      <c r="D144" s="421" t="s">
        <v>936</v>
      </c>
      <c r="E144" s="371"/>
      <c r="F144" s="416"/>
      <c r="G144" s="391">
        <v>680.34</v>
      </c>
      <c r="H144" s="348"/>
      <c r="I144" s="323"/>
      <c r="J144" s="524">
        <f>'FACTURES NORMALISEES'!F155+'FACTURES NORMALISEES'!G161</f>
        <v>93.84</v>
      </c>
      <c r="K144" s="525">
        <v>93.84</v>
      </c>
      <c r="L144" s="187"/>
      <c r="N144" s="442" t="e">
        <f t="shared" si="8"/>
        <v>#REF!</v>
      </c>
      <c r="O144" s="40" t="e">
        <f>'FACTURES NORMALISEES'!#REF!+'FACTURES NORMALISEES'!#REF!</f>
        <v>#REF!</v>
      </c>
    </row>
    <row r="145" spans="1:16" x14ac:dyDescent="0.3">
      <c r="A145" s="395">
        <v>46125</v>
      </c>
      <c r="B145" s="21" t="s">
        <v>966</v>
      </c>
      <c r="C145" s="344"/>
      <c r="D145" s="421" t="s">
        <v>937</v>
      </c>
      <c r="E145" s="371"/>
      <c r="F145" s="416"/>
      <c r="G145" s="391">
        <v>1630.9</v>
      </c>
      <c r="H145" s="348"/>
      <c r="I145" s="323"/>
      <c r="J145" s="524">
        <f>'FACTURES NORMALISEES'!F144+'FACTURES NORMALISEES'!F145</f>
        <v>224.95999999999998</v>
      </c>
      <c r="K145" s="525">
        <v>224.96</v>
      </c>
      <c r="L145" s="187"/>
      <c r="N145" s="442" t="e">
        <f t="shared" si="8"/>
        <v>#REF!</v>
      </c>
      <c r="O145" s="40" t="e">
        <f>+'FACTURES NORMALISEES'!#REF!+'FACTURES NORMALISEES'!#REF!</f>
        <v>#REF!</v>
      </c>
    </row>
    <row r="146" spans="1:16" x14ac:dyDescent="0.3">
      <c r="A146" s="395">
        <v>46129</v>
      </c>
      <c r="B146" s="398" t="s">
        <v>961</v>
      </c>
      <c r="C146" s="344"/>
      <c r="D146" s="421" t="s">
        <v>938</v>
      </c>
      <c r="E146" s="371"/>
      <c r="F146" s="416"/>
      <c r="G146" s="391">
        <v>870</v>
      </c>
      <c r="H146" s="348"/>
      <c r="I146" s="323"/>
      <c r="J146" s="524">
        <f>'FACTURES NORMALISEES'!G205+'FACTURES NORMALISEES'!G206</f>
        <v>119.99999999999991</v>
      </c>
      <c r="K146" s="525">
        <v>120</v>
      </c>
      <c r="L146" s="187"/>
      <c r="N146" s="442" t="e">
        <f t="shared" si="8"/>
        <v>#REF!</v>
      </c>
      <c r="O146" s="40" t="e">
        <f>'FACTURES NORMALISEES'!#REF!+'FACTURES NORMALISEES'!#REF!</f>
        <v>#REF!</v>
      </c>
    </row>
    <row r="147" spans="1:16" x14ac:dyDescent="0.3">
      <c r="A147" s="395">
        <v>46133</v>
      </c>
      <c r="B147" s="21" t="s">
        <v>966</v>
      </c>
      <c r="C147" s="344"/>
      <c r="D147" s="421" t="s">
        <v>595</v>
      </c>
      <c r="E147" s="371"/>
      <c r="F147" s="416"/>
      <c r="G147" s="391">
        <v>7609.6</v>
      </c>
      <c r="H147" s="348"/>
      <c r="I147" s="323"/>
      <c r="J147" s="524">
        <f>+'FACTURES NORMALISEES'!F149</f>
        <v>1049.5999999999995</v>
      </c>
      <c r="K147" s="525">
        <v>1049.5999999999999</v>
      </c>
      <c r="L147" s="187"/>
      <c r="N147" s="442" t="e">
        <f t="shared" si="8"/>
        <v>#REF!</v>
      </c>
      <c r="O147" s="40" t="e">
        <f>'FACTURES NORMALISEES'!#REF!</f>
        <v>#REF!</v>
      </c>
    </row>
    <row r="148" spans="1:16" x14ac:dyDescent="0.3">
      <c r="A148" s="395">
        <v>46133</v>
      </c>
      <c r="B148" s="21" t="s">
        <v>963</v>
      </c>
      <c r="C148" s="344"/>
      <c r="D148" s="421" t="s">
        <v>939</v>
      </c>
      <c r="E148" s="371"/>
      <c r="F148" s="416"/>
      <c r="G148" s="391">
        <v>3536.84</v>
      </c>
      <c r="H148" s="348"/>
      <c r="I148" s="323"/>
      <c r="J148" s="524">
        <f>'FACTURES NORMALISEES'!F171+'FACTURES NORMALISEES'!F172</f>
        <v>487.83999999999992</v>
      </c>
      <c r="K148" s="525">
        <v>487.84</v>
      </c>
      <c r="L148" s="187"/>
      <c r="N148" s="442" t="e">
        <f t="shared" si="8"/>
        <v>#REF!</v>
      </c>
      <c r="O148" s="40" t="e">
        <f>'FACTURES NORMALISEES'!#REF!+'FACTURES NORMALISEES'!#REF!</f>
        <v>#REF!</v>
      </c>
    </row>
    <row r="149" spans="1:16" x14ac:dyDescent="0.3">
      <c r="A149" s="395">
        <v>46134</v>
      </c>
      <c r="B149" s="400" t="s">
        <v>973</v>
      </c>
      <c r="C149" s="344"/>
      <c r="D149" s="421" t="s">
        <v>777</v>
      </c>
      <c r="E149" s="371"/>
      <c r="F149" s="416"/>
      <c r="G149" s="391">
        <v>290</v>
      </c>
      <c r="H149" s="348"/>
      <c r="I149" s="323"/>
      <c r="J149" s="524">
        <f>'FACTURES NORMALISEES'!G207</f>
        <v>39.999999999999972</v>
      </c>
      <c r="K149" s="525">
        <v>40</v>
      </c>
      <c r="L149" s="187"/>
      <c r="N149" s="442" t="e">
        <f t="shared" si="8"/>
        <v>#REF!</v>
      </c>
      <c r="O149" s="40" t="e">
        <f>'FACTURES NORMALISEES'!#REF!</f>
        <v>#REF!</v>
      </c>
    </row>
    <row r="150" spans="1:16" x14ac:dyDescent="0.3">
      <c r="A150" s="395">
        <v>46136</v>
      </c>
      <c r="B150" s="398" t="s">
        <v>960</v>
      </c>
      <c r="C150" s="344"/>
      <c r="D150" s="421" t="s">
        <v>438</v>
      </c>
      <c r="E150" s="371"/>
      <c r="F150" s="416"/>
      <c r="G150" s="391">
        <v>2012.6</v>
      </c>
      <c r="H150" s="348"/>
      <c r="I150" s="323"/>
      <c r="J150" s="524">
        <f>'FACTURES NORMALISEES'!F107</f>
        <v>277.59999999999991</v>
      </c>
      <c r="K150" s="525">
        <v>277.60000000000002</v>
      </c>
      <c r="L150" s="187"/>
      <c r="N150" s="442" t="e">
        <f t="shared" si="8"/>
        <v>#REF!</v>
      </c>
      <c r="O150" s="40" t="e">
        <f>'FACTURES NORMALISEES'!#REF!</f>
        <v>#REF!</v>
      </c>
    </row>
    <row r="151" spans="1:16" x14ac:dyDescent="0.3">
      <c r="A151" s="395">
        <v>46136</v>
      </c>
      <c r="B151" s="21" t="s">
        <v>974</v>
      </c>
      <c r="C151" s="344"/>
      <c r="D151" s="421" t="s">
        <v>845</v>
      </c>
      <c r="E151" s="371"/>
      <c r="F151" s="416"/>
      <c r="G151" s="391">
        <v>2170</v>
      </c>
      <c r="H151" s="348"/>
      <c r="I151" s="323"/>
      <c r="J151" s="526">
        <v>0</v>
      </c>
      <c r="K151" s="527">
        <v>0</v>
      </c>
      <c r="L151" s="187"/>
      <c r="N151" s="443">
        <v>0</v>
      </c>
      <c r="P151" s="40" t="e">
        <f>'FACTURES NORMALISEES'!#REF!</f>
        <v>#REF!</v>
      </c>
    </row>
    <row r="152" spans="1:16" x14ac:dyDescent="0.3">
      <c r="A152" s="395">
        <v>46139</v>
      </c>
      <c r="B152" s="21" t="s">
        <v>975</v>
      </c>
      <c r="C152" s="344"/>
      <c r="D152" s="421" t="s">
        <v>623</v>
      </c>
      <c r="E152" s="371"/>
      <c r="F152" s="416"/>
      <c r="G152" s="391">
        <v>127.6</v>
      </c>
      <c r="H152" s="348"/>
      <c r="I152" s="323"/>
      <c r="J152" s="524">
        <f>'FACTURES NORMALISEES'!F157</f>
        <v>17.599999999999994</v>
      </c>
      <c r="K152" s="525">
        <v>17.600000000000001</v>
      </c>
      <c r="L152" s="187"/>
      <c r="N152" s="442" t="e">
        <f t="shared" si="8"/>
        <v>#REF!</v>
      </c>
      <c r="O152" s="40" t="e">
        <f>'FACTURES NORMALISEES'!#REF!</f>
        <v>#REF!</v>
      </c>
    </row>
    <row r="153" spans="1:16" x14ac:dyDescent="0.3">
      <c r="A153" s="395">
        <v>46139</v>
      </c>
      <c r="B153" s="398" t="s">
        <v>976</v>
      </c>
      <c r="C153" s="344"/>
      <c r="D153" s="421" t="s">
        <v>781</v>
      </c>
      <c r="E153" s="371"/>
      <c r="F153" s="416"/>
      <c r="G153" s="391">
        <v>696</v>
      </c>
      <c r="H153" s="348"/>
      <c r="I153" s="323"/>
      <c r="J153" s="524">
        <f>'FACTURES NORMALISEES'!G208</f>
        <v>96</v>
      </c>
      <c r="K153" s="525">
        <v>96</v>
      </c>
      <c r="L153" s="187"/>
      <c r="N153" s="442" t="e">
        <f t="shared" si="8"/>
        <v>#REF!</v>
      </c>
      <c r="O153" s="40" t="e">
        <f>'FACTURES NORMALISEES'!#REF!</f>
        <v>#REF!</v>
      </c>
    </row>
    <row r="154" spans="1:16" x14ac:dyDescent="0.3">
      <c r="A154" s="395">
        <v>46141</v>
      </c>
      <c r="B154" s="398" t="s">
        <v>976</v>
      </c>
      <c r="C154" s="344"/>
      <c r="D154" s="421" t="s">
        <v>356</v>
      </c>
      <c r="E154" s="371"/>
      <c r="F154" s="416"/>
      <c r="G154" s="391">
        <v>696</v>
      </c>
      <c r="H154" s="348"/>
      <c r="I154" s="323"/>
      <c r="J154" s="524">
        <f>'FACTURES NORMALISEES'!G83</f>
        <v>96</v>
      </c>
      <c r="K154" s="525">
        <v>96</v>
      </c>
      <c r="L154" s="187"/>
      <c r="N154" s="442" t="e">
        <f t="shared" si="8"/>
        <v>#REF!</v>
      </c>
      <c r="O154" s="40" t="e">
        <f>'FACTURES NORMALISEES'!#REF!</f>
        <v>#REF!</v>
      </c>
    </row>
    <row r="155" spans="1:16" x14ac:dyDescent="0.3">
      <c r="A155" s="395">
        <v>46141</v>
      </c>
      <c r="B155" s="398" t="s">
        <v>976</v>
      </c>
      <c r="C155" s="344"/>
      <c r="D155" s="421" t="s">
        <v>72</v>
      </c>
      <c r="E155" s="371"/>
      <c r="F155" s="416"/>
      <c r="G155" s="391">
        <v>174</v>
      </c>
      <c r="H155" s="348"/>
      <c r="I155" s="323"/>
      <c r="J155" s="524">
        <f>'FACTURES NORMALISEES'!G19</f>
        <v>24</v>
      </c>
      <c r="K155" s="525">
        <v>24</v>
      </c>
      <c r="L155" s="187"/>
      <c r="N155" s="442" t="e">
        <f t="shared" si="8"/>
        <v>#REF!</v>
      </c>
      <c r="O155" s="40" t="e">
        <f>'FACTURES NORMALISEES'!#REF!</f>
        <v>#REF!</v>
      </c>
    </row>
    <row r="156" spans="1:16" x14ac:dyDescent="0.3">
      <c r="A156" s="395">
        <v>46141</v>
      </c>
      <c r="B156" s="21" t="s">
        <v>976</v>
      </c>
      <c r="C156" s="344"/>
      <c r="D156" s="421" t="s">
        <v>628</v>
      </c>
      <c r="E156" s="371"/>
      <c r="F156" s="416"/>
      <c r="G156" s="391">
        <v>696</v>
      </c>
      <c r="H156" s="348"/>
      <c r="I156" s="323"/>
      <c r="J156" s="524">
        <f>'FACTURES NORMALISEES'!G162</f>
        <v>96</v>
      </c>
      <c r="K156" s="525">
        <v>96</v>
      </c>
      <c r="L156" s="187"/>
      <c r="N156" s="442" t="e">
        <f t="shared" si="8"/>
        <v>#REF!</v>
      </c>
      <c r="O156" s="40" t="e">
        <f>'FACTURES NORMALISEES'!#REF!</f>
        <v>#REF!</v>
      </c>
    </row>
    <row r="157" spans="1:16" ht="15" thickBot="1" x14ac:dyDescent="0.35">
      <c r="A157" s="395">
        <v>46142</v>
      </c>
      <c r="B157" s="21" t="s">
        <v>964</v>
      </c>
      <c r="C157" s="344"/>
      <c r="D157" s="421" t="s">
        <v>557</v>
      </c>
      <c r="E157" s="371"/>
      <c r="F157" s="416"/>
      <c r="G157" s="391">
        <v>319</v>
      </c>
      <c r="H157" s="348"/>
      <c r="I157" s="323"/>
      <c r="J157" s="524">
        <f>'FACTURES NORMALISEES'!G140</f>
        <v>44</v>
      </c>
      <c r="K157" s="525">
        <v>44</v>
      </c>
      <c r="L157" s="187"/>
      <c r="N157" s="442" t="e">
        <f t="shared" si="8"/>
        <v>#REF!</v>
      </c>
      <c r="O157" s="40" t="e">
        <f>'FACTURES NORMALISEES'!#REF!</f>
        <v>#REF!</v>
      </c>
    </row>
    <row r="158" spans="1:16" ht="16.2" thickBot="1" x14ac:dyDescent="0.35">
      <c r="A158" s="131"/>
      <c r="B158" s="320"/>
      <c r="C158" s="471"/>
      <c r="D158" s="452"/>
      <c r="E158" s="339">
        <f t="shared" ref="E158" si="9">+H158/1.16</f>
        <v>0</v>
      </c>
      <c r="F158" s="453"/>
      <c r="G158" s="311"/>
      <c r="H158" s="312"/>
      <c r="I158" s="325"/>
      <c r="J158" s="529"/>
      <c r="K158" s="530"/>
      <c r="L158" s="187"/>
    </row>
    <row r="159" spans="1:16" ht="16.2" thickBot="1" x14ac:dyDescent="0.35">
      <c r="A159" s="454"/>
      <c r="B159" s="454"/>
      <c r="C159" s="472"/>
      <c r="D159" s="455"/>
      <c r="E159" s="456">
        <f>SUM(E158:E158)</f>
        <v>0</v>
      </c>
      <c r="F159" s="456"/>
      <c r="G159" s="484">
        <f>SUM(G126:G158)</f>
        <v>48022.490000000005</v>
      </c>
      <c r="H159" s="457"/>
      <c r="I159" s="477"/>
      <c r="J159" s="578">
        <f>SUM(J126:J158)</f>
        <v>5773.2068965517228</v>
      </c>
      <c r="K159" s="578">
        <f>SUM(K126:K158)</f>
        <v>5563.9300000000012</v>
      </c>
      <c r="L159" s="184"/>
      <c r="N159" s="363" t="e">
        <f>SUM(N127:N158)</f>
        <v>#REF!</v>
      </c>
      <c r="O159" s="364" t="e">
        <f>SUM(O127:O158)</f>
        <v>#REF!</v>
      </c>
      <c r="P159" s="364" t="e">
        <f>SUM(P127:P158)</f>
        <v>#REF!</v>
      </c>
    </row>
    <row r="160" spans="1:16" x14ac:dyDescent="0.3">
      <c r="A160" s="210"/>
      <c r="B160" s="367"/>
      <c r="C160" s="344"/>
      <c r="D160" s="345"/>
      <c r="E160" s="346"/>
      <c r="F160" s="416"/>
      <c r="G160" s="347"/>
      <c r="H160" s="348"/>
      <c r="I160" s="323"/>
      <c r="J160" s="568"/>
      <c r="K160" s="515"/>
      <c r="L160" s="187"/>
    </row>
    <row r="161" spans="1:16" ht="15.6" x14ac:dyDescent="0.3">
      <c r="A161" s="394">
        <v>46153</v>
      </c>
      <c r="B161" s="21" t="s">
        <v>29</v>
      </c>
      <c r="C161" s="552">
        <v>657.45</v>
      </c>
      <c r="D161" s="421" t="s">
        <v>853</v>
      </c>
      <c r="E161" s="142">
        <f t="shared" ref="E161:E195" si="10">+H161/1.16</f>
        <v>0</v>
      </c>
      <c r="F161" s="416"/>
      <c r="G161" s="347"/>
      <c r="H161" s="348"/>
      <c r="I161" s="323"/>
      <c r="J161" s="514">
        <f>'FACTURES NORMALISEES'!G228</f>
        <v>84.282758620689606</v>
      </c>
      <c r="K161" s="515"/>
      <c r="L161" s="187"/>
      <c r="N161" s="405" t="e">
        <f t="shared" ref="N161:N194" si="11">+O161*16%</f>
        <v>#REF!</v>
      </c>
      <c r="O161" s="40" t="e">
        <f>'FACTURES NORMALISEES'!#REF!</f>
        <v>#REF!</v>
      </c>
    </row>
    <row r="162" spans="1:16" ht="15.6" x14ac:dyDescent="0.3">
      <c r="A162" s="394">
        <v>46153</v>
      </c>
      <c r="B162" s="399" t="s">
        <v>966</v>
      </c>
      <c r="C162" s="552">
        <v>7516.8</v>
      </c>
      <c r="D162" s="421" t="s">
        <v>1172</v>
      </c>
      <c r="E162" s="142">
        <f t="shared" si="10"/>
        <v>0</v>
      </c>
      <c r="F162" s="416"/>
      <c r="G162" s="347"/>
      <c r="H162" s="348"/>
      <c r="I162" s="323"/>
      <c r="J162" s="514">
        <f>'FACTURES NORMALISEES'!F211+'FACTURES NORMALISEES'!F219</f>
        <v>1036.8</v>
      </c>
      <c r="K162" s="515"/>
      <c r="L162" s="187"/>
      <c r="N162" s="405" t="e">
        <f t="shared" si="11"/>
        <v>#REF!</v>
      </c>
      <c r="O162" s="40" t="e">
        <f>'FACTURES NORMALISEES'!#REF!+'FACTURES NORMALISEES'!#REF!</f>
        <v>#REF!</v>
      </c>
    </row>
    <row r="163" spans="1:16" ht="15.6" x14ac:dyDescent="0.3">
      <c r="A163" s="394">
        <v>46155</v>
      </c>
      <c r="B163" s="398" t="s">
        <v>960</v>
      </c>
      <c r="C163" s="552">
        <v>2708.6</v>
      </c>
      <c r="D163" s="421" t="s">
        <v>991</v>
      </c>
      <c r="E163" s="142">
        <f t="shared" si="10"/>
        <v>0</v>
      </c>
      <c r="F163" s="416"/>
      <c r="G163" s="347"/>
      <c r="H163" s="348"/>
      <c r="I163" s="323"/>
      <c r="J163" s="514">
        <f>'FACTURES NORMALISEES'!F259</f>
        <v>373.59999999999991</v>
      </c>
      <c r="K163" s="515"/>
      <c r="L163" s="187"/>
      <c r="N163" s="405" t="e">
        <f t="shared" si="11"/>
        <v>#REF!</v>
      </c>
      <c r="O163" s="40" t="e">
        <f>'FACTURES NORMALISEES'!#REF!</f>
        <v>#REF!</v>
      </c>
    </row>
    <row r="164" spans="1:16" ht="15.6" x14ac:dyDescent="0.3">
      <c r="A164" s="394">
        <v>46161</v>
      </c>
      <c r="B164" s="572" t="s">
        <v>240</v>
      </c>
      <c r="C164" s="552">
        <v>500</v>
      </c>
      <c r="D164" s="421" t="s">
        <v>946</v>
      </c>
      <c r="E164" s="142">
        <f t="shared" si="10"/>
        <v>0</v>
      </c>
      <c r="F164" s="416"/>
      <c r="G164" s="347"/>
      <c r="H164" s="348"/>
      <c r="I164" s="323"/>
      <c r="J164" s="569">
        <f t="shared" ref="J164:J169" si="12">+K164*16%</f>
        <v>0</v>
      </c>
      <c r="K164" s="515"/>
      <c r="L164" s="187"/>
      <c r="N164" s="443">
        <f t="shared" si="11"/>
        <v>0</v>
      </c>
      <c r="P164" s="40" t="e">
        <f>'FACTURES NORMALISEES'!#REF!</f>
        <v>#REF!</v>
      </c>
    </row>
    <row r="165" spans="1:16" ht="15.6" x14ac:dyDescent="0.3">
      <c r="A165" s="394">
        <v>46171</v>
      </c>
      <c r="B165" s="572" t="s">
        <v>240</v>
      </c>
      <c r="C165" s="553">
        <v>500</v>
      </c>
      <c r="D165" s="73" t="s">
        <v>981</v>
      </c>
      <c r="E165" s="142">
        <f t="shared" si="10"/>
        <v>0</v>
      </c>
      <c r="F165" s="416"/>
      <c r="G165" s="347"/>
      <c r="H165" s="348"/>
      <c r="I165" s="323"/>
      <c r="J165" s="569">
        <f t="shared" si="12"/>
        <v>0</v>
      </c>
      <c r="K165" s="515"/>
      <c r="L165" s="187"/>
      <c r="N165" s="443">
        <f t="shared" si="11"/>
        <v>0</v>
      </c>
      <c r="P165" s="40" t="e">
        <f>'FACTURES NORMALISEES'!#REF!</f>
        <v>#REF!</v>
      </c>
    </row>
    <row r="166" spans="1:16" ht="15.6" x14ac:dyDescent="0.3">
      <c r="A166" s="394">
        <v>46171</v>
      </c>
      <c r="B166" s="573" t="s">
        <v>244</v>
      </c>
      <c r="C166" s="574">
        <v>700</v>
      </c>
      <c r="D166" s="73" t="s">
        <v>982</v>
      </c>
      <c r="E166" s="142">
        <f t="shared" si="10"/>
        <v>0</v>
      </c>
      <c r="F166" s="416"/>
      <c r="G166" s="347"/>
      <c r="H166" s="348"/>
      <c r="I166" s="323"/>
      <c r="J166" s="569">
        <f t="shared" si="12"/>
        <v>0</v>
      </c>
      <c r="K166" s="515"/>
      <c r="L166" s="187"/>
      <c r="N166" s="443">
        <f t="shared" si="11"/>
        <v>0</v>
      </c>
      <c r="P166" s="40" t="e">
        <f>'FACTURES NORMALISEES'!#REF!</f>
        <v>#REF!</v>
      </c>
    </row>
    <row r="167" spans="1:16" ht="15.6" x14ac:dyDescent="0.3">
      <c r="A167" s="394">
        <v>46171</v>
      </c>
      <c r="B167" s="573" t="s">
        <v>1173</v>
      </c>
      <c r="C167" s="574">
        <v>750</v>
      </c>
      <c r="D167" s="73" t="s">
        <v>983</v>
      </c>
      <c r="E167" s="142">
        <f t="shared" si="10"/>
        <v>0</v>
      </c>
      <c r="F167" s="416"/>
      <c r="G167" s="347"/>
      <c r="H167" s="348"/>
      <c r="I167" s="323"/>
      <c r="J167" s="569">
        <f t="shared" si="12"/>
        <v>0</v>
      </c>
      <c r="K167" s="515"/>
      <c r="L167" s="187"/>
      <c r="N167" s="443">
        <f t="shared" si="11"/>
        <v>0</v>
      </c>
      <c r="P167" s="40" t="e">
        <f>'FACTURES NORMALISEES'!#REF!</f>
        <v>#REF!</v>
      </c>
    </row>
    <row r="168" spans="1:16" ht="15.6" x14ac:dyDescent="0.3">
      <c r="A168" s="394">
        <v>46171</v>
      </c>
      <c r="B168" s="573" t="s">
        <v>243</v>
      </c>
      <c r="C168" s="574">
        <v>250</v>
      </c>
      <c r="D168" s="73" t="s">
        <v>984</v>
      </c>
      <c r="E168" s="142">
        <f t="shared" si="10"/>
        <v>0</v>
      </c>
      <c r="F168" s="416"/>
      <c r="G168" s="347"/>
      <c r="H168" s="348"/>
      <c r="I168" s="323"/>
      <c r="J168" s="569">
        <f t="shared" si="12"/>
        <v>0</v>
      </c>
      <c r="K168" s="515"/>
      <c r="L168" s="187"/>
      <c r="N168" s="443">
        <f t="shared" si="11"/>
        <v>0</v>
      </c>
      <c r="P168" s="40" t="e">
        <f>'FACTURES NORMALISEES'!#REF!</f>
        <v>#REF!</v>
      </c>
    </row>
    <row r="169" spans="1:16" ht="15.6" x14ac:dyDescent="0.3">
      <c r="A169" s="394">
        <v>46171</v>
      </c>
      <c r="B169" s="573" t="s">
        <v>240</v>
      </c>
      <c r="C169" s="574">
        <v>500</v>
      </c>
      <c r="D169" s="73" t="s">
        <v>1123</v>
      </c>
      <c r="E169" s="142">
        <f t="shared" si="10"/>
        <v>0</v>
      </c>
      <c r="F169" s="416"/>
      <c r="G169" s="347"/>
      <c r="H169" s="348"/>
      <c r="I169" s="323"/>
      <c r="J169" s="569">
        <f t="shared" si="12"/>
        <v>0</v>
      </c>
      <c r="K169" s="515"/>
      <c r="L169" s="187"/>
      <c r="N169" s="443">
        <f t="shared" si="11"/>
        <v>0</v>
      </c>
      <c r="P169" s="40" t="e">
        <f>'FACTURES NORMALISEES'!#REF!</f>
        <v>#REF!</v>
      </c>
    </row>
    <row r="170" spans="1:16" ht="15.6" x14ac:dyDescent="0.3">
      <c r="A170" s="210"/>
      <c r="B170" s="20"/>
      <c r="C170" s="344"/>
      <c r="D170" s="421"/>
      <c r="E170" s="142">
        <f t="shared" si="10"/>
        <v>0</v>
      </c>
      <c r="F170" s="416"/>
      <c r="G170" s="347"/>
      <c r="H170" s="348"/>
      <c r="I170" s="323"/>
      <c r="J170" s="531"/>
      <c r="K170" s="515"/>
      <c r="L170" s="187"/>
      <c r="N170" s="442"/>
    </row>
    <row r="171" spans="1:16" ht="16.2" thickBot="1" x14ac:dyDescent="0.35">
      <c r="A171" s="395">
        <v>46148</v>
      </c>
      <c r="B171" s="571" t="s">
        <v>968</v>
      </c>
      <c r="C171" s="555">
        <v>336.79</v>
      </c>
      <c r="D171" s="73" t="s">
        <v>1192</v>
      </c>
      <c r="E171" s="142">
        <f t="shared" si="10"/>
        <v>0</v>
      </c>
      <c r="F171" s="416"/>
      <c r="G171" s="347"/>
      <c r="H171" s="348"/>
      <c r="I171" s="323"/>
      <c r="J171" s="531">
        <f>'FACTURES NORMALISEES'!G229+'FACTURES NORMALISEES'!G230</f>
        <v>46.453793103448248</v>
      </c>
      <c r="K171" s="515"/>
      <c r="L171" s="187"/>
      <c r="N171" s="405" t="e">
        <f t="shared" si="11"/>
        <v>#REF!</v>
      </c>
      <c r="O171" s="40" t="e">
        <f>'FACTURES NORMALISEES'!#REF!+'FACTURES NORMALISEES'!#REF!</f>
        <v>#REF!</v>
      </c>
    </row>
    <row r="172" spans="1:16" ht="15.6" x14ac:dyDescent="0.3">
      <c r="A172" s="395">
        <v>46153</v>
      </c>
      <c r="B172" s="575" t="s">
        <v>232</v>
      </c>
      <c r="C172" s="396">
        <v>750</v>
      </c>
      <c r="D172" s="73" t="s">
        <v>75</v>
      </c>
      <c r="E172" s="142">
        <f t="shared" si="10"/>
        <v>0</v>
      </c>
      <c r="F172" s="416"/>
      <c r="G172" s="347"/>
      <c r="H172" s="348"/>
      <c r="I172" s="323"/>
      <c r="J172" s="569">
        <f t="shared" ref="J172:J175" si="13">+K172*16%</f>
        <v>0</v>
      </c>
      <c r="K172" s="515"/>
      <c r="L172" s="187"/>
      <c r="N172" s="443">
        <f t="shared" si="11"/>
        <v>0</v>
      </c>
    </row>
    <row r="173" spans="1:16" ht="15.6" x14ac:dyDescent="0.3">
      <c r="A173" s="395">
        <v>46153</v>
      </c>
      <c r="B173" s="576" t="s">
        <v>232</v>
      </c>
      <c r="C173" s="555">
        <v>750</v>
      </c>
      <c r="D173" s="73" t="s">
        <v>339</v>
      </c>
      <c r="E173" s="142">
        <f t="shared" si="10"/>
        <v>0</v>
      </c>
      <c r="F173" s="416"/>
      <c r="G173" s="347"/>
      <c r="H173" s="348"/>
      <c r="I173" s="323"/>
      <c r="J173" s="569">
        <f t="shared" si="13"/>
        <v>0</v>
      </c>
      <c r="K173" s="515"/>
      <c r="L173" s="187"/>
      <c r="N173" s="443">
        <f t="shared" si="11"/>
        <v>0</v>
      </c>
    </row>
    <row r="174" spans="1:16" ht="15.6" x14ac:dyDescent="0.3">
      <c r="A174" s="395">
        <v>46153</v>
      </c>
      <c r="B174" s="576" t="s">
        <v>232</v>
      </c>
      <c r="C174" s="555">
        <v>750</v>
      </c>
      <c r="D174" s="73" t="s">
        <v>559</v>
      </c>
      <c r="E174" s="142">
        <f t="shared" si="10"/>
        <v>0</v>
      </c>
      <c r="F174" s="416"/>
      <c r="G174" s="347"/>
      <c r="H174" s="348"/>
      <c r="I174" s="323"/>
      <c r="J174" s="569">
        <f t="shared" si="13"/>
        <v>0</v>
      </c>
      <c r="K174" s="515"/>
      <c r="L174" s="187"/>
      <c r="N174" s="443">
        <f t="shared" si="11"/>
        <v>0</v>
      </c>
    </row>
    <row r="175" spans="1:16" ht="15.6" x14ac:dyDescent="0.3">
      <c r="A175" s="395">
        <v>46153</v>
      </c>
      <c r="B175" s="576" t="s">
        <v>232</v>
      </c>
      <c r="C175" s="555">
        <v>750</v>
      </c>
      <c r="D175" s="73" t="s">
        <v>748</v>
      </c>
      <c r="E175" s="142">
        <f t="shared" si="10"/>
        <v>0</v>
      </c>
      <c r="F175" s="416"/>
      <c r="G175" s="347"/>
      <c r="H175" s="348"/>
      <c r="I175" s="323"/>
      <c r="J175" s="569">
        <f t="shared" si="13"/>
        <v>0</v>
      </c>
      <c r="K175" s="515"/>
      <c r="L175" s="187"/>
      <c r="N175" s="443">
        <f t="shared" si="11"/>
        <v>0</v>
      </c>
    </row>
    <row r="176" spans="1:16" ht="15.6" x14ac:dyDescent="0.3">
      <c r="A176" s="395">
        <v>46155</v>
      </c>
      <c r="B176" s="399" t="s">
        <v>395</v>
      </c>
      <c r="C176" s="555">
        <v>280.14</v>
      </c>
      <c r="D176" s="73" t="s">
        <v>1193</v>
      </c>
      <c r="E176" s="142">
        <f t="shared" si="10"/>
        <v>0</v>
      </c>
      <c r="F176" s="416"/>
      <c r="G176" s="347"/>
      <c r="H176" s="348"/>
      <c r="I176" s="323"/>
      <c r="J176" s="531">
        <f>'FACTURES NORMALISEES'!G231+'FACTURES NORMALISEES'!G232</f>
        <v>38.64</v>
      </c>
      <c r="K176" s="515"/>
      <c r="L176" s="187"/>
      <c r="N176" s="405" t="e">
        <f t="shared" si="11"/>
        <v>#REF!</v>
      </c>
      <c r="O176" s="40" t="e">
        <f>'FACTURES NORMALISEES'!#REF!+'FACTURES NORMALISEES'!#REF!</f>
        <v>#REF!</v>
      </c>
    </row>
    <row r="177" spans="1:15" ht="15.6" x14ac:dyDescent="0.3">
      <c r="A177" s="395">
        <v>46161</v>
      </c>
      <c r="B177" s="576" t="s">
        <v>373</v>
      </c>
      <c r="C177" s="555">
        <v>5740</v>
      </c>
      <c r="D177" s="73" t="s">
        <v>674</v>
      </c>
      <c r="E177" s="142">
        <f t="shared" si="10"/>
        <v>0</v>
      </c>
      <c r="F177" s="416"/>
      <c r="G177" s="347"/>
      <c r="H177" s="348"/>
      <c r="I177" s="323"/>
      <c r="J177" s="570">
        <f t="shared" ref="J177" si="14">+K177*16%</f>
        <v>0</v>
      </c>
      <c r="K177" s="515"/>
      <c r="L177" s="187"/>
      <c r="N177" s="443">
        <f t="shared" si="11"/>
        <v>0</v>
      </c>
      <c r="O177" s="557"/>
    </row>
    <row r="178" spans="1:15" ht="15.6" x14ac:dyDescent="0.3">
      <c r="A178" s="395">
        <v>46161</v>
      </c>
      <c r="B178" s="136" t="s">
        <v>1198</v>
      </c>
      <c r="C178" s="555">
        <v>6594.6</v>
      </c>
      <c r="D178" s="73" t="s">
        <v>1194</v>
      </c>
      <c r="E178" s="142">
        <f t="shared" si="10"/>
        <v>0</v>
      </c>
      <c r="F178" s="416"/>
      <c r="G178" s="347"/>
      <c r="H178" s="348"/>
      <c r="I178" s="323"/>
      <c r="J178" s="514">
        <f>'FACTURES NORMALISEES'!F210+'FACTURES NORMALISEES'!F214</f>
        <v>909.59999999999945</v>
      </c>
      <c r="K178" s="515"/>
      <c r="L178" s="187"/>
      <c r="N178" s="405" t="e">
        <f t="shared" si="11"/>
        <v>#REF!</v>
      </c>
      <c r="O178" s="40" t="e">
        <f>'FACTURES NORMALISEES'!#REF!+'FACTURES NORMALISEES'!#REF!</f>
        <v>#REF!</v>
      </c>
    </row>
    <row r="179" spans="1:15" ht="15.6" x14ac:dyDescent="0.3">
      <c r="A179" s="395">
        <v>46163</v>
      </c>
      <c r="B179" s="399" t="s">
        <v>1199</v>
      </c>
      <c r="C179" s="555">
        <v>585.79999999999995</v>
      </c>
      <c r="D179" s="73" t="s">
        <v>1195</v>
      </c>
      <c r="E179" s="142">
        <f t="shared" si="10"/>
        <v>0</v>
      </c>
      <c r="F179" s="416"/>
      <c r="G179" s="347"/>
      <c r="H179" s="348"/>
      <c r="I179" s="323"/>
      <c r="J179" s="514">
        <f>'FACTURES NORMALISEES'!F130+'FACTURES NORMALISEES'!F131</f>
        <v>80.799999999999983</v>
      </c>
      <c r="K179" s="515"/>
      <c r="L179" s="187"/>
      <c r="N179" s="442" t="e">
        <f t="shared" si="11"/>
        <v>#REF!</v>
      </c>
      <c r="O179" s="40" t="e">
        <f>'FACTURES NORMALISEES'!#REF!+'FACTURES NORMALISEES'!#REF!</f>
        <v>#REF!</v>
      </c>
    </row>
    <row r="180" spans="1:15" ht="15.6" x14ac:dyDescent="0.3">
      <c r="A180" s="394">
        <v>46167</v>
      </c>
      <c r="B180" s="398" t="s">
        <v>1200</v>
      </c>
      <c r="C180" s="556">
        <v>40218.49</v>
      </c>
      <c r="D180" s="73" t="s">
        <v>1006</v>
      </c>
      <c r="E180" s="142">
        <f t="shared" si="10"/>
        <v>0</v>
      </c>
      <c r="F180" s="416"/>
      <c r="G180" s="347"/>
      <c r="H180" s="348"/>
      <c r="I180" s="323"/>
      <c r="J180" s="211">
        <f>'FACTURES NORMALISEES'!G264</f>
        <v>6434.9586206896493</v>
      </c>
      <c r="K180" s="515"/>
      <c r="L180" s="187"/>
      <c r="N180" s="406" t="e">
        <f t="shared" si="11"/>
        <v>#REF!</v>
      </c>
      <c r="O180" s="559" t="e">
        <f>'FACTURES NORMALISEES'!#REF!</f>
        <v>#REF!</v>
      </c>
    </row>
    <row r="181" spans="1:15" ht="15.6" x14ac:dyDescent="0.3">
      <c r="A181" s="394">
        <v>46168</v>
      </c>
      <c r="B181" s="398" t="s">
        <v>1201</v>
      </c>
      <c r="C181" s="556">
        <v>607.47</v>
      </c>
      <c r="D181" s="73" t="s">
        <v>1196</v>
      </c>
      <c r="E181" s="142">
        <f t="shared" si="10"/>
        <v>0</v>
      </c>
      <c r="F181" s="416"/>
      <c r="G181" s="347"/>
      <c r="H181" s="348"/>
      <c r="I181" s="323"/>
      <c r="J181" s="514">
        <f>'FACTURES NORMALISEES'!G136+'FACTURES NORMALISEES'!G202+'FACTURES NORMALISEES'!G258</f>
        <v>83.788965517241365</v>
      </c>
      <c r="K181" s="515"/>
      <c r="L181" s="187"/>
      <c r="N181" s="442" t="e">
        <f t="shared" si="11"/>
        <v>#REF!</v>
      </c>
      <c r="O181" s="40" t="e">
        <f>'FACTURES NORMALISEES'!#REF!+'FACTURES NORMALISEES'!#REF!+'FACTURES NORMALISEES'!#REF!</f>
        <v>#REF!</v>
      </c>
    </row>
    <row r="182" spans="1:15" ht="15.6" x14ac:dyDescent="0.3">
      <c r="A182" s="394">
        <v>46169</v>
      </c>
      <c r="B182" s="576" t="s">
        <v>373</v>
      </c>
      <c r="C182" s="556">
        <v>157.5</v>
      </c>
      <c r="D182" s="73" t="s">
        <v>740</v>
      </c>
      <c r="E182" s="142">
        <f t="shared" si="10"/>
        <v>0</v>
      </c>
      <c r="F182" s="416"/>
      <c r="G182" s="347"/>
      <c r="H182" s="348"/>
      <c r="I182" s="323"/>
      <c r="J182" s="514"/>
      <c r="K182" s="515"/>
      <c r="L182" s="187"/>
      <c r="N182" s="443">
        <f t="shared" si="11"/>
        <v>0</v>
      </c>
    </row>
    <row r="183" spans="1:15" ht="15.6" x14ac:dyDescent="0.3">
      <c r="A183" s="394">
        <v>46169</v>
      </c>
      <c r="B183" s="576" t="s">
        <v>373</v>
      </c>
      <c r="C183" s="556">
        <v>157.5</v>
      </c>
      <c r="D183" s="73" t="s">
        <v>558</v>
      </c>
      <c r="E183" s="142">
        <f t="shared" si="10"/>
        <v>0</v>
      </c>
      <c r="F183" s="416"/>
      <c r="G183" s="347"/>
      <c r="H183" s="348"/>
      <c r="I183" s="323"/>
      <c r="J183" s="514"/>
      <c r="K183" s="515"/>
      <c r="L183" s="187"/>
      <c r="N183" s="443">
        <f t="shared" si="11"/>
        <v>0</v>
      </c>
    </row>
    <row r="184" spans="1:15" ht="15.6" x14ac:dyDescent="0.3">
      <c r="A184" s="394">
        <v>46170</v>
      </c>
      <c r="B184" s="399" t="s">
        <v>395</v>
      </c>
      <c r="C184" s="556">
        <v>1059.6600000000001</v>
      </c>
      <c r="D184" s="73" t="s">
        <v>1197</v>
      </c>
      <c r="E184" s="142">
        <f t="shared" si="10"/>
        <v>0</v>
      </c>
      <c r="F184" s="416"/>
      <c r="G184" s="347"/>
      <c r="H184" s="348"/>
      <c r="I184" s="323"/>
      <c r="J184" s="514">
        <f>'FACTURES NORMALISEES'!G254+'FACTURES NORMALISEES'!G255+'FACTURES NORMALISEES'!G270+'FACTURES NORMALISEES'!G271</f>
        <v>146.15999999999997</v>
      </c>
      <c r="K184" s="515"/>
      <c r="L184" s="187"/>
      <c r="N184" s="405" t="e">
        <f t="shared" si="11"/>
        <v>#REF!</v>
      </c>
      <c r="O184" s="40" t="e">
        <f>'FACTURES NORMALISEES'!#REF!+'FACTURES NORMALISEES'!#REF!+'FACTURES NORMALISEES'!#REF!+'FACTURES NORMALISEES'!#REF!</f>
        <v>#REF!</v>
      </c>
    </row>
    <row r="185" spans="1:15" ht="15.6" x14ac:dyDescent="0.3">
      <c r="A185" s="210"/>
      <c r="B185" s="20"/>
      <c r="C185" s="344"/>
      <c r="D185" s="421"/>
      <c r="E185" s="142">
        <f t="shared" si="10"/>
        <v>0</v>
      </c>
      <c r="F185" s="416"/>
      <c r="G185" s="347"/>
      <c r="H185" s="348"/>
      <c r="I185" s="323"/>
      <c r="J185" s="514"/>
      <c r="K185" s="515"/>
      <c r="L185" s="187"/>
      <c r="N185" s="442"/>
    </row>
    <row r="186" spans="1:15" ht="15.6" x14ac:dyDescent="0.3">
      <c r="A186" s="394">
        <v>46147</v>
      </c>
      <c r="B186" s="397" t="s">
        <v>1202</v>
      </c>
      <c r="C186" s="552">
        <v>2088</v>
      </c>
      <c r="D186" s="73" t="s">
        <v>848</v>
      </c>
      <c r="E186" s="142">
        <f t="shared" si="10"/>
        <v>0</v>
      </c>
      <c r="F186" s="416"/>
      <c r="G186" s="347"/>
      <c r="H186" s="348"/>
      <c r="I186" s="323"/>
      <c r="J186" s="514">
        <f>'FACTURES NORMALISEES'!F223</f>
        <v>287.99999999999977</v>
      </c>
      <c r="K186" s="515"/>
      <c r="L186" s="187"/>
      <c r="N186" s="405" t="e">
        <f t="shared" si="11"/>
        <v>#REF!</v>
      </c>
      <c r="O186" s="40" t="e">
        <f>'FACTURES NORMALISEES'!#REF!</f>
        <v>#REF!</v>
      </c>
    </row>
    <row r="187" spans="1:15" ht="15.6" x14ac:dyDescent="0.3">
      <c r="A187" s="394">
        <v>46171</v>
      </c>
      <c r="B187" s="397" t="s">
        <v>1203</v>
      </c>
      <c r="C187" s="552">
        <v>274.05</v>
      </c>
      <c r="D187" s="73" t="s">
        <v>978</v>
      </c>
      <c r="E187" s="142">
        <f t="shared" si="10"/>
        <v>0</v>
      </c>
      <c r="F187" s="416"/>
      <c r="G187" s="347"/>
      <c r="H187" s="348"/>
      <c r="I187" s="323"/>
      <c r="J187" s="514">
        <f>'FACTURES NORMALISEES'!G245</f>
        <v>37.799999999999983</v>
      </c>
      <c r="K187" s="515"/>
      <c r="L187" s="187"/>
      <c r="N187" s="405" t="e">
        <f t="shared" si="11"/>
        <v>#REF!</v>
      </c>
      <c r="O187" s="40" t="e">
        <f>'FACTURES NORMALISEES'!#REF!</f>
        <v>#REF!</v>
      </c>
    </row>
    <row r="188" spans="1:15" ht="15.6" x14ac:dyDescent="0.3">
      <c r="A188" s="394">
        <v>46171</v>
      </c>
      <c r="B188" s="397" t="s">
        <v>1204</v>
      </c>
      <c r="C188" s="552">
        <v>1616.9</v>
      </c>
      <c r="D188" s="73" t="s">
        <v>977</v>
      </c>
      <c r="E188" s="142">
        <f t="shared" si="10"/>
        <v>0</v>
      </c>
      <c r="F188" s="416"/>
      <c r="G188" s="347"/>
      <c r="H188" s="348"/>
      <c r="I188" s="323"/>
      <c r="J188" s="514">
        <f>'FACTURES NORMALISEES'!G244</f>
        <v>223.02068965517242</v>
      </c>
      <c r="K188" s="515"/>
      <c r="L188" s="187"/>
      <c r="N188" s="405" t="e">
        <f t="shared" si="11"/>
        <v>#REF!</v>
      </c>
      <c r="O188" s="40" t="e">
        <f>'FACTURES NORMALISEES'!#REF!</f>
        <v>#REF!</v>
      </c>
    </row>
    <row r="189" spans="1:15" ht="15.6" x14ac:dyDescent="0.3">
      <c r="A189" s="210"/>
      <c r="B189" s="20"/>
      <c r="C189" s="344"/>
      <c r="D189" s="421"/>
      <c r="E189" s="142">
        <f t="shared" si="10"/>
        <v>0</v>
      </c>
      <c r="F189" s="416"/>
      <c r="G189" s="347"/>
      <c r="H189" s="348"/>
      <c r="I189" s="323"/>
      <c r="J189" s="514"/>
      <c r="K189" s="515"/>
      <c r="L189" s="187"/>
      <c r="N189" s="442"/>
    </row>
    <row r="190" spans="1:15" ht="15.6" x14ac:dyDescent="0.3">
      <c r="A190" s="558">
        <v>46149</v>
      </c>
      <c r="B190" s="20" t="s">
        <v>1205</v>
      </c>
      <c r="C190" s="344"/>
      <c r="D190" s="73" t="s">
        <v>927</v>
      </c>
      <c r="E190" s="142">
        <f t="shared" si="10"/>
        <v>0</v>
      </c>
      <c r="F190" s="416"/>
      <c r="G190" s="347"/>
      <c r="H190" s="348"/>
      <c r="I190" s="323"/>
      <c r="J190" s="514">
        <f>'FACTURES NORMALISEES'!G238</f>
        <v>29.030344827586191</v>
      </c>
      <c r="K190" s="515"/>
      <c r="L190" s="187"/>
      <c r="N190" s="442" t="e">
        <f t="shared" si="11"/>
        <v>#REF!</v>
      </c>
      <c r="O190" s="40" t="e">
        <f>'FACTURES NORMALISEES'!#REF!</f>
        <v>#REF!</v>
      </c>
    </row>
    <row r="191" spans="1:15" ht="15.6" x14ac:dyDescent="0.3">
      <c r="A191" s="558">
        <v>46151</v>
      </c>
      <c r="B191" s="20" t="s">
        <v>314</v>
      </c>
      <c r="C191" s="344"/>
      <c r="D191" s="73" t="s">
        <v>944</v>
      </c>
      <c r="E191" s="142">
        <f t="shared" si="10"/>
        <v>0</v>
      </c>
      <c r="F191" s="416"/>
      <c r="G191" s="347"/>
      <c r="H191" s="348"/>
      <c r="I191" s="323"/>
      <c r="J191" s="514">
        <f>'FACTURES NORMALISEES'!G239</f>
        <v>20.159999999999997</v>
      </c>
      <c r="K191" s="515"/>
      <c r="L191" s="187"/>
      <c r="N191" s="442" t="e">
        <f t="shared" si="11"/>
        <v>#REF!</v>
      </c>
      <c r="O191" s="40" t="e">
        <f>'FACTURES NORMALISEES'!#REF!</f>
        <v>#REF!</v>
      </c>
    </row>
    <row r="192" spans="1:15" ht="15.6" x14ac:dyDescent="0.3">
      <c r="A192" s="558">
        <v>46153</v>
      </c>
      <c r="B192" s="20" t="s">
        <v>1206</v>
      </c>
      <c r="C192" s="344"/>
      <c r="D192" s="73" t="s">
        <v>926</v>
      </c>
      <c r="E192" s="142">
        <f t="shared" si="10"/>
        <v>0</v>
      </c>
      <c r="F192" s="416"/>
      <c r="G192" s="347"/>
      <c r="H192" s="348"/>
      <c r="I192" s="323"/>
      <c r="J192" s="514">
        <f>'FACTURES NORMALISEES'!G237</f>
        <v>33.599999999999994</v>
      </c>
      <c r="K192" s="515"/>
      <c r="L192" s="187"/>
      <c r="N192" s="442" t="e">
        <f t="shared" si="11"/>
        <v>#REF!</v>
      </c>
      <c r="O192" s="40" t="e">
        <f>'FACTURES NORMALISEES'!#REF!</f>
        <v>#REF!</v>
      </c>
    </row>
    <row r="193" spans="1:16" ht="15.6" x14ac:dyDescent="0.3">
      <c r="A193" s="558">
        <v>46168</v>
      </c>
      <c r="B193" s="20" t="s">
        <v>1207</v>
      </c>
      <c r="C193" s="344"/>
      <c r="D193" s="73" t="s">
        <v>945</v>
      </c>
      <c r="E193" s="142">
        <f t="shared" si="10"/>
        <v>0</v>
      </c>
      <c r="F193" s="416"/>
      <c r="G193" s="347"/>
      <c r="H193" s="348"/>
      <c r="I193" s="323"/>
      <c r="J193" s="514">
        <f>'FACTURES NORMALISEES'!F240</f>
        <v>48</v>
      </c>
      <c r="K193" s="515"/>
      <c r="L193" s="187"/>
      <c r="N193" s="442" t="e">
        <f t="shared" si="11"/>
        <v>#REF!</v>
      </c>
      <c r="O193" s="40" t="e">
        <f>'FACTURES NORMALISEES'!#REF!</f>
        <v>#REF!</v>
      </c>
    </row>
    <row r="194" spans="1:16" ht="15.6" x14ac:dyDescent="0.3">
      <c r="A194" s="558">
        <v>46168</v>
      </c>
      <c r="B194" s="20" t="s">
        <v>400</v>
      </c>
      <c r="C194" s="344"/>
      <c r="D194" s="73" t="s">
        <v>985</v>
      </c>
      <c r="E194" s="142">
        <f t="shared" si="10"/>
        <v>0</v>
      </c>
      <c r="F194" s="416"/>
      <c r="G194" s="347"/>
      <c r="H194" s="348"/>
      <c r="I194" s="323"/>
      <c r="J194" s="514">
        <f>'FACTURES NORMALISEES'!G253</f>
        <v>30.239999999999981</v>
      </c>
      <c r="K194" s="515"/>
      <c r="L194" s="187"/>
      <c r="N194" s="442" t="e">
        <f t="shared" si="11"/>
        <v>#REF!</v>
      </c>
      <c r="O194" s="40" t="e">
        <f>'FACTURES NORMALISEES'!#REF!</f>
        <v>#REF!</v>
      </c>
    </row>
    <row r="195" spans="1:16" ht="15.6" x14ac:dyDescent="0.3">
      <c r="A195" s="210"/>
      <c r="B195" s="20"/>
      <c r="C195" s="344"/>
      <c r="D195" s="421"/>
      <c r="E195" s="142">
        <f t="shared" si="10"/>
        <v>0</v>
      </c>
      <c r="F195" s="416"/>
      <c r="G195" s="347"/>
      <c r="H195" s="348"/>
      <c r="I195" s="323"/>
      <c r="J195" s="567">
        <f>-J180</f>
        <v>-6434.9586206896493</v>
      </c>
      <c r="K195" s="515"/>
      <c r="L195" s="187"/>
      <c r="N195" s="406" t="e">
        <f>-N180</f>
        <v>#REF!</v>
      </c>
      <c r="O195" s="560" t="e">
        <f>-O180</f>
        <v>#REF!</v>
      </c>
    </row>
    <row r="196" spans="1:16" ht="16.2" thickBot="1" x14ac:dyDescent="0.35">
      <c r="A196" s="130"/>
      <c r="B196" s="21"/>
      <c r="C196" s="473"/>
      <c r="D196" s="284"/>
      <c r="E196" s="142">
        <f t="shared" ref="E196" si="15">+H196/1.16</f>
        <v>0</v>
      </c>
      <c r="F196" s="417"/>
      <c r="G196" s="302"/>
      <c r="H196" s="303"/>
      <c r="I196" s="324"/>
      <c r="J196" s="531"/>
      <c r="K196" s="532"/>
      <c r="L196" s="187"/>
    </row>
    <row r="197" spans="1:16" ht="16.2" thickBot="1" x14ac:dyDescent="0.35">
      <c r="A197" s="579"/>
      <c r="B197" s="491"/>
      <c r="C197" s="492"/>
      <c r="D197" s="493"/>
      <c r="E197" s="133">
        <f>SUM(E196:E196)</f>
        <v>0</v>
      </c>
      <c r="F197" s="494"/>
      <c r="G197" s="495">
        <f>SUM(G196:G196)</f>
        <v>0</v>
      </c>
      <c r="H197" s="496"/>
      <c r="I197" s="497"/>
      <c r="J197" s="577">
        <f>SUM(J161:J196)</f>
        <v>3509.9765517241358</v>
      </c>
      <c r="K197" s="533"/>
      <c r="L197" s="187"/>
      <c r="N197" s="363" t="e">
        <f>SUM(N161:N196)</f>
        <v>#REF!</v>
      </c>
      <c r="O197" s="363" t="e">
        <f>SUM(O161:O196)</f>
        <v>#REF!</v>
      </c>
      <c r="P197" s="363" t="e">
        <f>SUM(P161:P196)</f>
        <v>#REF!</v>
      </c>
    </row>
    <row r="198" spans="1:16" x14ac:dyDescent="0.3">
      <c r="A198" s="130"/>
      <c r="B198" s="21"/>
      <c r="C198" s="315"/>
      <c r="D198" s="283"/>
      <c r="E198" s="219"/>
      <c r="F198" s="417"/>
      <c r="G198" s="302"/>
      <c r="H198" s="303"/>
      <c r="I198" s="324"/>
      <c r="J198" s="531"/>
      <c r="K198" s="532"/>
      <c r="L198" s="187"/>
    </row>
    <row r="199" spans="1:16" ht="15.6" x14ac:dyDescent="0.3">
      <c r="A199" s="130"/>
      <c r="B199" s="21"/>
      <c r="C199" s="473"/>
      <c r="D199" s="284"/>
      <c r="E199" s="142">
        <f t="shared" ref="E199:E209" si="16">+H199/1.16</f>
        <v>0</v>
      </c>
      <c r="F199" s="417"/>
      <c r="G199" s="308"/>
      <c r="H199" s="309"/>
      <c r="I199" s="324"/>
      <c r="J199" s="531"/>
      <c r="K199" s="532"/>
      <c r="L199" s="187"/>
    </row>
    <row r="200" spans="1:16" ht="15.6" x14ac:dyDescent="0.3">
      <c r="A200" s="130"/>
      <c r="B200" s="21"/>
      <c r="C200" s="473"/>
      <c r="D200" s="284"/>
      <c r="E200" s="142">
        <f t="shared" si="16"/>
        <v>0</v>
      </c>
      <c r="F200" s="417"/>
      <c r="G200" s="308"/>
      <c r="H200" s="309"/>
      <c r="I200" s="324"/>
      <c r="J200" s="531"/>
      <c r="K200" s="532"/>
      <c r="L200" s="187"/>
    </row>
    <row r="201" spans="1:16" ht="15.6" x14ac:dyDescent="0.3">
      <c r="A201" s="130"/>
      <c r="B201" s="21"/>
      <c r="C201" s="473"/>
      <c r="D201" s="284"/>
      <c r="E201" s="142">
        <f t="shared" si="16"/>
        <v>0</v>
      </c>
      <c r="F201" s="417"/>
      <c r="G201" s="308"/>
      <c r="H201" s="309"/>
      <c r="I201" s="324"/>
      <c r="J201" s="531"/>
      <c r="K201" s="532"/>
      <c r="L201" s="187"/>
    </row>
    <row r="202" spans="1:16" ht="15.6" x14ac:dyDescent="0.3">
      <c r="A202" s="130"/>
      <c r="B202" s="21"/>
      <c r="C202" s="473"/>
      <c r="D202" s="284"/>
      <c r="E202" s="142">
        <f t="shared" si="16"/>
        <v>0</v>
      </c>
      <c r="F202" s="417"/>
      <c r="G202" s="308"/>
      <c r="H202" s="309"/>
      <c r="I202" s="324"/>
      <c r="J202" s="531"/>
      <c r="K202" s="532"/>
      <c r="L202" s="187"/>
    </row>
    <row r="203" spans="1:16" ht="15.6" x14ac:dyDescent="0.3">
      <c r="A203" s="130"/>
      <c r="B203" s="21"/>
      <c r="C203" s="473"/>
      <c r="D203" s="284"/>
      <c r="E203" s="142">
        <f t="shared" si="16"/>
        <v>0</v>
      </c>
      <c r="F203" s="417"/>
      <c r="G203" s="308"/>
      <c r="H203" s="309"/>
      <c r="I203" s="324"/>
      <c r="J203" s="531"/>
      <c r="K203" s="532"/>
      <c r="L203" s="187"/>
    </row>
    <row r="204" spans="1:16" ht="15.6" x14ac:dyDescent="0.3">
      <c r="A204" s="130"/>
      <c r="B204" s="21"/>
      <c r="C204" s="473"/>
      <c r="D204" s="284"/>
      <c r="E204" s="142">
        <f t="shared" si="16"/>
        <v>0</v>
      </c>
      <c r="F204" s="417"/>
      <c r="G204" s="308"/>
      <c r="H204" s="309"/>
      <c r="I204" s="324"/>
      <c r="J204" s="531"/>
      <c r="K204" s="532"/>
      <c r="L204" s="187"/>
    </row>
    <row r="205" spans="1:16" ht="15.6" x14ac:dyDescent="0.3">
      <c r="A205" s="130"/>
      <c r="B205" s="21"/>
      <c r="C205" s="473"/>
      <c r="D205" s="284"/>
      <c r="E205" s="142">
        <f t="shared" si="16"/>
        <v>0</v>
      </c>
      <c r="F205" s="417"/>
      <c r="G205" s="308"/>
      <c r="H205" s="309"/>
      <c r="I205" s="324"/>
      <c r="J205" s="531"/>
      <c r="K205" s="532"/>
      <c r="L205" s="187"/>
    </row>
    <row r="206" spans="1:16" ht="15.6" x14ac:dyDescent="0.3">
      <c r="A206" s="130"/>
      <c r="B206" s="21"/>
      <c r="C206" s="473"/>
      <c r="D206" s="284"/>
      <c r="E206" s="142">
        <f t="shared" si="16"/>
        <v>0</v>
      </c>
      <c r="F206" s="417"/>
      <c r="G206" s="308"/>
      <c r="H206" s="309"/>
      <c r="I206" s="324"/>
      <c r="J206" s="531"/>
      <c r="K206" s="532"/>
      <c r="L206" s="187"/>
    </row>
    <row r="207" spans="1:16" ht="15.6" x14ac:dyDescent="0.3">
      <c r="A207" s="130"/>
      <c r="B207" s="21"/>
      <c r="C207" s="473"/>
      <c r="D207" s="284"/>
      <c r="E207" s="142">
        <f t="shared" si="16"/>
        <v>0</v>
      </c>
      <c r="F207" s="417"/>
      <c r="G207" s="308"/>
      <c r="H207" s="309"/>
      <c r="I207" s="324"/>
      <c r="J207" s="531"/>
      <c r="K207" s="532"/>
      <c r="L207" s="187"/>
    </row>
    <row r="208" spans="1:16" ht="15.6" x14ac:dyDescent="0.3">
      <c r="A208" s="130"/>
      <c r="B208" s="21"/>
      <c r="C208" s="473"/>
      <c r="D208" s="284"/>
      <c r="E208" s="142">
        <f t="shared" si="16"/>
        <v>0</v>
      </c>
      <c r="F208" s="417"/>
      <c r="G208" s="308"/>
      <c r="H208" s="309"/>
      <c r="I208" s="324"/>
      <c r="J208" s="531"/>
      <c r="K208" s="532"/>
      <c r="L208" s="187"/>
    </row>
    <row r="209" spans="1:12" ht="15.6" x14ac:dyDescent="0.3">
      <c r="A209" s="130"/>
      <c r="B209" s="21"/>
      <c r="C209" s="473"/>
      <c r="D209" s="284"/>
      <c r="E209" s="142">
        <f t="shared" si="16"/>
        <v>0</v>
      </c>
      <c r="F209" s="417"/>
      <c r="G209" s="308"/>
      <c r="H209" s="309"/>
      <c r="I209" s="324"/>
      <c r="J209" s="531"/>
      <c r="K209" s="532"/>
      <c r="L209" s="187"/>
    </row>
    <row r="210" spans="1:12" x14ac:dyDescent="0.3">
      <c r="A210" s="130"/>
      <c r="B210" s="21"/>
      <c r="C210" s="186"/>
      <c r="D210" s="282"/>
      <c r="E210" s="133">
        <f>SUM(E209:E209)</f>
        <v>0</v>
      </c>
      <c r="F210" s="133"/>
      <c r="G210" s="485">
        <f>SUM(G198:G199)</f>
        <v>0</v>
      </c>
      <c r="H210" s="307"/>
      <c r="I210" s="135"/>
      <c r="J210" s="137"/>
      <c r="K210" s="534"/>
      <c r="L210" s="187"/>
    </row>
    <row r="211" spans="1:12" ht="15.6" x14ac:dyDescent="0.3">
      <c r="A211" s="130"/>
      <c r="B211" s="21"/>
      <c r="C211" s="473"/>
      <c r="D211" s="284"/>
      <c r="E211" s="142">
        <f t="shared" ref="E211:E214" si="17">+H211/1.16</f>
        <v>0</v>
      </c>
      <c r="F211" s="417"/>
      <c r="G211" s="486"/>
      <c r="H211" s="310"/>
      <c r="I211" s="324"/>
      <c r="J211" s="535"/>
      <c r="K211" s="536"/>
      <c r="L211" s="187"/>
    </row>
    <row r="212" spans="1:12" ht="15.6" x14ac:dyDescent="0.3">
      <c r="A212" s="130"/>
      <c r="B212" s="21"/>
      <c r="C212" s="473"/>
      <c r="D212" s="284"/>
      <c r="E212" s="142">
        <f t="shared" si="17"/>
        <v>0</v>
      </c>
      <c r="F212" s="417"/>
      <c r="G212" s="486"/>
      <c r="H212" s="310"/>
      <c r="I212" s="324"/>
      <c r="J212" s="535"/>
      <c r="K212" s="536"/>
      <c r="L212" s="187"/>
    </row>
    <row r="213" spans="1:12" ht="15.6" x14ac:dyDescent="0.3">
      <c r="A213" s="130"/>
      <c r="B213" s="21"/>
      <c r="C213" s="473"/>
      <c r="D213" s="284"/>
      <c r="E213" s="142">
        <f t="shared" si="17"/>
        <v>0</v>
      </c>
      <c r="F213" s="417"/>
      <c r="G213" s="486"/>
      <c r="H213" s="310"/>
      <c r="I213" s="324"/>
      <c r="J213" s="535"/>
      <c r="K213" s="536"/>
      <c r="L213" s="187"/>
    </row>
    <row r="214" spans="1:12" ht="15.6" x14ac:dyDescent="0.3">
      <c r="A214" s="130"/>
      <c r="B214" s="21"/>
      <c r="C214" s="473"/>
      <c r="D214" s="284"/>
      <c r="E214" s="142">
        <f t="shared" si="17"/>
        <v>0</v>
      </c>
      <c r="F214" s="417"/>
      <c r="G214" s="486"/>
      <c r="H214" s="310"/>
      <c r="I214" s="324"/>
      <c r="J214" s="535"/>
      <c r="K214" s="536"/>
      <c r="L214" s="187"/>
    </row>
    <row r="215" spans="1:12" x14ac:dyDescent="0.3">
      <c r="A215" s="130"/>
      <c r="B215" s="21"/>
      <c r="C215" s="186"/>
      <c r="D215" s="282"/>
      <c r="E215" s="133">
        <f>SUM(E214:E214)</f>
        <v>0</v>
      </c>
      <c r="F215" s="133"/>
      <c r="G215" s="487">
        <f>SUM(G211:G211)</f>
        <v>0</v>
      </c>
      <c r="H215" s="282"/>
      <c r="I215" s="135"/>
      <c r="J215" s="137"/>
      <c r="K215" s="534"/>
      <c r="L215" s="187"/>
    </row>
    <row r="216" spans="1:12" ht="15.6" x14ac:dyDescent="0.3">
      <c r="A216" s="130"/>
      <c r="B216" s="21"/>
      <c r="C216" s="315"/>
      <c r="D216" s="283"/>
      <c r="E216" s="142">
        <f t="shared" ref="E216:E217" si="18">+H216/1.16</f>
        <v>0</v>
      </c>
      <c r="F216" s="418"/>
      <c r="G216" s="302"/>
      <c r="H216" s="303"/>
      <c r="I216" s="324"/>
      <c r="J216" s="531"/>
      <c r="K216" s="532"/>
      <c r="L216" s="187"/>
    </row>
    <row r="217" spans="1:12" ht="15.6" x14ac:dyDescent="0.3">
      <c r="A217" s="130"/>
      <c r="B217" s="21"/>
      <c r="C217" s="316"/>
      <c r="D217" s="285"/>
      <c r="E217" s="142">
        <f t="shared" si="18"/>
        <v>0</v>
      </c>
      <c r="F217" s="417"/>
      <c r="G217" s="488"/>
      <c r="H217" s="306"/>
      <c r="I217" s="324"/>
      <c r="J217" s="537"/>
      <c r="K217" s="538"/>
      <c r="L217" s="187"/>
    </row>
    <row r="218" spans="1:12" x14ac:dyDescent="0.3">
      <c r="A218" s="130"/>
      <c r="B218" s="21"/>
      <c r="C218" s="186"/>
      <c r="D218" s="282"/>
      <c r="E218" s="133">
        <f>SUM(E217:E217)</f>
        <v>0</v>
      </c>
      <c r="F218" s="133"/>
      <c r="G218" s="487">
        <f>SUM(G216:G217)</f>
        <v>0</v>
      </c>
      <c r="H218" s="282"/>
      <c r="I218" s="135"/>
      <c r="J218" s="137"/>
      <c r="K218" s="534"/>
      <c r="L218" s="187"/>
    </row>
    <row r="219" spans="1:12" ht="15.6" x14ac:dyDescent="0.3">
      <c r="A219" s="130"/>
      <c r="B219" s="21"/>
      <c r="C219" s="315"/>
      <c r="D219" s="283"/>
      <c r="E219" s="142">
        <f t="shared" ref="E219:E220" si="19">+H219/1.16</f>
        <v>0</v>
      </c>
      <c r="F219" s="417"/>
      <c r="G219" s="302"/>
      <c r="H219" s="303"/>
      <c r="I219" s="324"/>
      <c r="J219" s="531"/>
      <c r="K219" s="532"/>
      <c r="L219" s="187"/>
    </row>
    <row r="220" spans="1:12" ht="15.6" x14ac:dyDescent="0.3">
      <c r="A220" s="130"/>
      <c r="B220" s="21"/>
      <c r="C220" s="473"/>
      <c r="D220" s="284"/>
      <c r="E220" s="142">
        <f t="shared" si="19"/>
        <v>0</v>
      </c>
      <c r="F220" s="417"/>
      <c r="G220" s="302"/>
      <c r="H220" s="303"/>
      <c r="I220" s="324"/>
      <c r="J220" s="531"/>
      <c r="K220" s="532"/>
      <c r="L220" s="187"/>
    </row>
    <row r="221" spans="1:12" x14ac:dyDescent="0.3">
      <c r="A221" s="130"/>
      <c r="B221" s="21"/>
      <c r="C221" s="186"/>
      <c r="D221" s="282"/>
      <c r="E221" s="133">
        <f>SUM(E220:E220)</f>
        <v>0</v>
      </c>
      <c r="F221" s="133"/>
      <c r="G221" s="487">
        <f>SUM(G220:G220)</f>
        <v>0</v>
      </c>
      <c r="H221" s="282"/>
      <c r="I221" s="135"/>
      <c r="J221" s="137"/>
      <c r="K221" s="534"/>
      <c r="L221" s="187"/>
    </row>
    <row r="222" spans="1:12" ht="15.6" x14ac:dyDescent="0.3">
      <c r="A222" s="130"/>
      <c r="B222" s="21"/>
      <c r="C222" s="315"/>
      <c r="D222" s="283"/>
      <c r="E222" s="142">
        <f t="shared" ref="E222:E223" si="20">+H222/1.16</f>
        <v>0</v>
      </c>
      <c r="F222" s="418"/>
      <c r="G222" s="302"/>
      <c r="H222" s="303"/>
      <c r="I222" s="324"/>
      <c r="J222" s="531"/>
      <c r="K222" s="532"/>
      <c r="L222" s="187"/>
    </row>
    <row r="223" spans="1:12" ht="15.6" x14ac:dyDescent="0.3">
      <c r="A223" s="130"/>
      <c r="B223" s="21"/>
      <c r="C223" s="473"/>
      <c r="D223" s="284"/>
      <c r="E223" s="142">
        <f t="shared" si="20"/>
        <v>0</v>
      </c>
      <c r="F223" s="417"/>
      <c r="G223" s="302"/>
      <c r="H223" s="303"/>
      <c r="I223" s="324"/>
      <c r="J223" s="531"/>
      <c r="K223" s="532"/>
      <c r="L223" s="187"/>
    </row>
    <row r="224" spans="1:12" x14ac:dyDescent="0.3">
      <c r="A224" s="130"/>
      <c r="B224" s="21"/>
      <c r="C224" s="186"/>
      <c r="D224" s="282"/>
      <c r="E224" s="133">
        <f>SUM(E223:E223)</f>
        <v>0</v>
      </c>
      <c r="F224" s="133"/>
      <c r="G224" s="487">
        <f>SUM(G223:G223)</f>
        <v>0</v>
      </c>
      <c r="H224" s="282"/>
      <c r="I224" s="135"/>
      <c r="J224" s="137"/>
      <c r="K224" s="534"/>
      <c r="L224" s="187"/>
    </row>
    <row r="225" spans="1:12" x14ac:dyDescent="0.3">
      <c r="A225" s="130"/>
      <c r="B225" s="21"/>
      <c r="C225" s="315"/>
      <c r="D225" s="283"/>
      <c r="E225" s="220">
        <f>SUM(E224:E224)</f>
        <v>0</v>
      </c>
      <c r="F225" s="417"/>
      <c r="G225" s="302"/>
      <c r="H225" s="303"/>
      <c r="I225" s="324"/>
      <c r="J225" s="531"/>
      <c r="K225" s="532"/>
      <c r="L225" s="187"/>
    </row>
    <row r="226" spans="1:12" ht="15.6" x14ac:dyDescent="0.3">
      <c r="A226" s="130"/>
      <c r="B226" s="21"/>
      <c r="C226" s="315"/>
      <c r="D226" s="283"/>
      <c r="E226" s="142">
        <f t="shared" ref="E226" si="21">+H226/1.16</f>
        <v>0</v>
      </c>
      <c r="F226" s="417"/>
      <c r="G226" s="302"/>
      <c r="H226" s="303"/>
      <c r="I226" s="324"/>
      <c r="J226" s="531"/>
      <c r="K226" s="532"/>
      <c r="L226" s="187"/>
    </row>
    <row r="227" spans="1:12" ht="18" x14ac:dyDescent="0.35">
      <c r="A227" s="130"/>
      <c r="B227" s="21"/>
      <c r="C227" s="186"/>
      <c r="D227" s="282"/>
      <c r="E227" s="133">
        <f>SUM(E225:E226)</f>
        <v>0</v>
      </c>
      <c r="F227" s="133"/>
      <c r="G227" s="117">
        <f>SUM(G225:G226)</f>
        <v>0</v>
      </c>
      <c r="H227" s="118"/>
      <c r="I227" s="135"/>
      <c r="J227" s="137"/>
      <c r="K227" s="534"/>
      <c r="L227" s="188"/>
    </row>
    <row r="228" spans="1:12" x14ac:dyDescent="0.3">
      <c r="A228" s="130"/>
      <c r="B228" s="21"/>
      <c r="C228" s="315"/>
      <c r="D228" s="283"/>
      <c r="E228" s="219"/>
      <c r="F228" s="417"/>
      <c r="G228" s="302"/>
      <c r="H228" s="303"/>
      <c r="I228" s="324"/>
      <c r="J228" s="531"/>
      <c r="K228" s="532"/>
      <c r="L228" s="187"/>
    </row>
    <row r="229" spans="1:12" ht="15.6" x14ac:dyDescent="0.3">
      <c r="A229" s="130"/>
      <c r="B229" s="21"/>
      <c r="C229" s="315"/>
      <c r="D229" s="283"/>
      <c r="E229" s="142">
        <f t="shared" ref="E229" si="22">+H229/1.16</f>
        <v>0</v>
      </c>
      <c r="F229" s="417"/>
      <c r="G229" s="302"/>
      <c r="H229" s="303"/>
      <c r="I229" s="324"/>
      <c r="J229" s="531"/>
      <c r="K229" s="532"/>
      <c r="L229" s="187"/>
    </row>
    <row r="230" spans="1:12" x14ac:dyDescent="0.3">
      <c r="A230" s="130"/>
      <c r="B230" s="21"/>
      <c r="C230" s="186"/>
      <c r="D230" s="282"/>
      <c r="E230" s="288">
        <f>SUM(E229:E229)</f>
        <v>0</v>
      </c>
      <c r="F230" s="133"/>
      <c r="G230" s="487">
        <f>SUM(G228:G229)</f>
        <v>0</v>
      </c>
      <c r="H230" s="282"/>
      <c r="I230" s="135"/>
      <c r="J230" s="137"/>
      <c r="K230" s="534"/>
      <c r="L230" s="187"/>
    </row>
    <row r="231" spans="1:12" ht="16.2" thickBot="1" x14ac:dyDescent="0.35">
      <c r="A231" s="131"/>
      <c r="B231" s="320"/>
      <c r="C231" s="474"/>
      <c r="D231" s="286"/>
      <c r="E231" s="289"/>
      <c r="F231" s="419"/>
      <c r="G231" s="311"/>
      <c r="H231" s="312"/>
      <c r="I231" s="326"/>
      <c r="J231" s="539"/>
      <c r="K231" s="530"/>
      <c r="L231" s="187"/>
    </row>
    <row r="232" spans="1:12" ht="16.2" thickBot="1" x14ac:dyDescent="0.35">
      <c r="A232" s="4"/>
      <c r="B232" s="87"/>
      <c r="C232" s="475"/>
      <c r="D232" s="209"/>
      <c r="E232" s="218">
        <f>+E230+E227+E224+E221+E218+E215+E210+E197+E159+E125+E74+E27</f>
        <v>21023.64931034483</v>
      </c>
      <c r="F232" s="321" t="e">
        <f t="shared" ref="F232:K232" si="23">F230+F227+F224+F221+F218+F215+F210+F197+F159+F125+F74+F27</f>
        <v>#REF!</v>
      </c>
      <c r="G232" s="489" t="e">
        <f t="shared" si="23"/>
        <v>#REF!</v>
      </c>
      <c r="H232" s="222" t="e">
        <f t="shared" si="23"/>
        <v>#REF!</v>
      </c>
      <c r="I232" s="132">
        <f t="shared" si="23"/>
        <v>30309.77</v>
      </c>
      <c r="J232" s="540" t="e">
        <f t="shared" si="23"/>
        <v>#REF!</v>
      </c>
      <c r="K232" s="541">
        <f t="shared" si="23"/>
        <v>18540.16</v>
      </c>
      <c r="L232" s="189"/>
    </row>
    <row r="233" spans="1:12" ht="15.6" x14ac:dyDescent="0.3">
      <c r="E233" s="287"/>
    </row>
  </sheetData>
  <pageMargins left="0.2" right="0.19" top="0.75" bottom="0.75" header="0.3" footer="0.3"/>
  <pageSetup paperSize="9"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76"/>
  <sheetViews>
    <sheetView tabSelected="1" workbookViewId="0">
      <pane xSplit="9" ySplit="4" topLeftCell="J5" activePane="bottomRight" state="frozen"/>
      <selection pane="topRight" activeCell="J1" sqref="J1"/>
      <selection pane="bottomLeft" activeCell="A5" sqref="A5"/>
      <selection pane="bottomRight" activeCell="I10" sqref="I10"/>
    </sheetView>
  </sheetViews>
  <sheetFormatPr baseColWidth="10" defaultColWidth="11.44140625" defaultRowHeight="14.4" x14ac:dyDescent="0.3"/>
  <cols>
    <col min="1" max="1" width="8.6640625" style="10" customWidth="1"/>
    <col min="2" max="2" width="62.5546875" style="10" customWidth="1"/>
    <col min="3" max="3" width="14.77734375" style="10" bestFit="1" customWidth="1"/>
    <col min="4" max="4" width="16.5546875" style="10" bestFit="1" customWidth="1"/>
    <col min="5" max="5" width="13.6640625" style="10" bestFit="1" customWidth="1"/>
    <col min="6" max="6" width="13.6640625" style="10" customWidth="1"/>
    <col min="7" max="7" width="11.21875" style="10" bestFit="1" customWidth="1"/>
    <col min="8" max="8" width="13.6640625" style="10" bestFit="1" customWidth="1"/>
    <col min="9" max="9" width="13.6640625" style="10" customWidth="1"/>
    <col min="10" max="16384" width="11.44140625" style="10"/>
  </cols>
  <sheetData>
    <row r="1" spans="1:9" x14ac:dyDescent="0.3">
      <c r="A1" s="9" t="s">
        <v>26</v>
      </c>
      <c r="B1" s="243"/>
    </row>
    <row r="2" spans="1:9" ht="21" thickBot="1" x14ac:dyDescent="0.4">
      <c r="A2" s="72" t="s">
        <v>1228</v>
      </c>
      <c r="B2" s="243"/>
    </row>
    <row r="3" spans="1:9" ht="15" thickBot="1" x14ac:dyDescent="0.35">
      <c r="A3" s="128"/>
      <c r="B3" s="275"/>
      <c r="C3" s="4"/>
      <c r="D3" s="17"/>
      <c r="E3" s="87"/>
      <c r="F3" s="140" t="s">
        <v>181</v>
      </c>
      <c r="G3" s="19"/>
      <c r="H3" s="140" t="s">
        <v>116</v>
      </c>
      <c r="I3" s="19"/>
    </row>
    <row r="4" spans="1:9" ht="15" thickBot="1" x14ac:dyDescent="0.35">
      <c r="A4" s="127" t="s">
        <v>28</v>
      </c>
      <c r="B4" s="127" t="s">
        <v>21</v>
      </c>
      <c r="C4" s="127" t="s">
        <v>111</v>
      </c>
      <c r="D4" s="129" t="s">
        <v>112</v>
      </c>
      <c r="E4" s="198" t="s">
        <v>1</v>
      </c>
      <c r="F4" s="182" t="s">
        <v>22</v>
      </c>
      <c r="G4" s="183" t="s">
        <v>23</v>
      </c>
      <c r="H4" s="83" t="s">
        <v>18</v>
      </c>
      <c r="I4" s="82" t="s">
        <v>22</v>
      </c>
    </row>
    <row r="5" spans="1:9" ht="15.6" x14ac:dyDescent="0.3">
      <c r="A5" s="58"/>
      <c r="B5" s="52"/>
      <c r="C5" s="53"/>
      <c r="D5" s="74"/>
      <c r="E5" s="199"/>
      <c r="F5" s="141"/>
      <c r="G5" s="112"/>
      <c r="H5" s="113"/>
      <c r="I5" s="114"/>
    </row>
    <row r="6" spans="1:9" ht="15.6" x14ac:dyDescent="0.3">
      <c r="A6" s="58">
        <v>46042</v>
      </c>
      <c r="B6" s="13" t="s">
        <v>62</v>
      </c>
      <c r="C6" s="71" t="s">
        <v>43</v>
      </c>
      <c r="D6" s="73" t="s">
        <v>58</v>
      </c>
      <c r="E6" s="199">
        <f t="shared" ref="E6" si="0">+(H6+I6)/1.16</f>
        <v>200</v>
      </c>
      <c r="F6" s="141"/>
      <c r="G6" s="112">
        <f>+H6-E6</f>
        <v>32</v>
      </c>
      <c r="H6" s="115">
        <v>232</v>
      </c>
      <c r="I6" s="116"/>
    </row>
    <row r="7" spans="1:9" ht="15.6" x14ac:dyDescent="0.3">
      <c r="A7" s="58">
        <v>46042</v>
      </c>
      <c r="B7" s="52" t="s">
        <v>941</v>
      </c>
      <c r="C7" s="71" t="s">
        <v>42</v>
      </c>
      <c r="D7" s="73" t="s">
        <v>74</v>
      </c>
      <c r="E7" s="199">
        <v>700</v>
      </c>
      <c r="F7" s="215">
        <v>0</v>
      </c>
      <c r="G7" s="216">
        <f t="shared" ref="G7:G51" si="1">+H7-E7</f>
        <v>0</v>
      </c>
      <c r="H7" s="115">
        <v>700</v>
      </c>
      <c r="I7" s="116"/>
    </row>
    <row r="8" spans="1:9" ht="15.6" x14ac:dyDescent="0.3">
      <c r="A8" s="58">
        <v>46042</v>
      </c>
      <c r="B8" s="52" t="s">
        <v>89</v>
      </c>
      <c r="C8" s="71" t="s">
        <v>40</v>
      </c>
      <c r="D8" s="73" t="s">
        <v>75</v>
      </c>
      <c r="E8" s="199">
        <v>750</v>
      </c>
      <c r="F8" s="215">
        <v>0</v>
      </c>
      <c r="G8" s="216">
        <f t="shared" si="1"/>
        <v>0</v>
      </c>
      <c r="H8" s="115">
        <v>750</v>
      </c>
      <c r="I8" s="116"/>
    </row>
    <row r="9" spans="1:9" ht="15.6" x14ac:dyDescent="0.3">
      <c r="A9" s="58">
        <v>46042</v>
      </c>
      <c r="B9" s="52" t="s">
        <v>87</v>
      </c>
      <c r="C9" s="71" t="s">
        <v>41</v>
      </c>
      <c r="D9" s="73" t="s">
        <v>76</v>
      </c>
      <c r="E9" s="199">
        <v>150</v>
      </c>
      <c r="F9" s="215">
        <v>0</v>
      </c>
      <c r="G9" s="216">
        <f t="shared" si="1"/>
        <v>0</v>
      </c>
      <c r="H9" s="115">
        <v>150</v>
      </c>
      <c r="I9" s="116"/>
    </row>
    <row r="10" spans="1:9" ht="15.6" x14ac:dyDescent="0.3">
      <c r="A10" s="58">
        <v>46042</v>
      </c>
      <c r="B10" s="13" t="s">
        <v>63</v>
      </c>
      <c r="C10" s="71" t="s">
        <v>44</v>
      </c>
      <c r="D10" s="73" t="s">
        <v>67</v>
      </c>
      <c r="E10" s="199">
        <v>400</v>
      </c>
      <c r="F10" s="215">
        <v>0</v>
      </c>
      <c r="G10" s="216">
        <f t="shared" si="1"/>
        <v>0</v>
      </c>
      <c r="H10" s="115">
        <v>400</v>
      </c>
      <c r="I10" s="116"/>
    </row>
    <row r="11" spans="1:9" ht="15.6" x14ac:dyDescent="0.3">
      <c r="A11" s="58">
        <v>46042</v>
      </c>
      <c r="B11" s="13" t="s">
        <v>66</v>
      </c>
      <c r="C11" s="71" t="s">
        <v>45</v>
      </c>
      <c r="D11" s="73" t="s">
        <v>65</v>
      </c>
      <c r="E11" s="199">
        <f t="shared" ref="E11:E15" si="2">+(H11+I11)/1.16</f>
        <v>172.80172413793105</v>
      </c>
      <c r="F11" s="194"/>
      <c r="G11" s="195">
        <f t="shared" si="1"/>
        <v>27.648275862068942</v>
      </c>
      <c r="H11" s="115">
        <v>200.45</v>
      </c>
      <c r="I11" s="116"/>
    </row>
    <row r="12" spans="1:9" ht="15.6" x14ac:dyDescent="0.3">
      <c r="A12" s="58">
        <v>46042</v>
      </c>
      <c r="B12" s="13" t="s">
        <v>60</v>
      </c>
      <c r="C12" s="71" t="s">
        <v>46</v>
      </c>
      <c r="D12" s="73" t="s">
        <v>61</v>
      </c>
      <c r="E12" s="199">
        <f t="shared" si="2"/>
        <v>120</v>
      </c>
      <c r="F12" s="194"/>
      <c r="G12" s="195">
        <f t="shared" si="1"/>
        <v>19.199999999999989</v>
      </c>
      <c r="H12" s="115">
        <v>139.19999999999999</v>
      </c>
      <c r="I12" s="116"/>
    </row>
    <row r="13" spans="1:9" ht="15.6" x14ac:dyDescent="0.3">
      <c r="A13" s="58">
        <v>46043</v>
      </c>
      <c r="B13" s="13" t="s">
        <v>88</v>
      </c>
      <c r="C13" s="71" t="s">
        <v>47</v>
      </c>
      <c r="D13" s="73" t="s">
        <v>77</v>
      </c>
      <c r="E13" s="199">
        <f t="shared" si="2"/>
        <v>166.25</v>
      </c>
      <c r="F13" s="194"/>
      <c r="G13" s="195">
        <f t="shared" si="1"/>
        <v>26.599999999999994</v>
      </c>
      <c r="H13" s="115">
        <v>192.85</v>
      </c>
      <c r="I13" s="116"/>
    </row>
    <row r="14" spans="1:9" ht="15.6" x14ac:dyDescent="0.3">
      <c r="A14" s="58">
        <v>46043</v>
      </c>
      <c r="B14" s="13" t="s">
        <v>69</v>
      </c>
      <c r="C14" s="71" t="s">
        <v>48</v>
      </c>
      <c r="D14" s="73" t="s">
        <v>68</v>
      </c>
      <c r="E14" s="199">
        <f t="shared" si="2"/>
        <v>183</v>
      </c>
      <c r="F14" s="194"/>
      <c r="G14" s="195">
        <f t="shared" si="1"/>
        <v>29.28</v>
      </c>
      <c r="H14" s="115">
        <v>212.28</v>
      </c>
      <c r="I14" s="116"/>
    </row>
    <row r="15" spans="1:9" ht="15.6" x14ac:dyDescent="0.3">
      <c r="A15" s="58">
        <v>46043</v>
      </c>
      <c r="B15" s="13" t="s">
        <v>96</v>
      </c>
      <c r="C15" s="71" t="s">
        <v>49</v>
      </c>
      <c r="D15" s="73" t="s">
        <v>78</v>
      </c>
      <c r="E15" s="199">
        <f t="shared" si="2"/>
        <v>180.00000000000003</v>
      </c>
      <c r="F15" s="194"/>
      <c r="G15" s="195">
        <f t="shared" si="1"/>
        <v>28.799999999999983</v>
      </c>
      <c r="H15" s="115">
        <v>208.8</v>
      </c>
      <c r="I15" s="116"/>
    </row>
    <row r="16" spans="1:9" ht="15.6" x14ac:dyDescent="0.3">
      <c r="A16" s="58">
        <v>46043</v>
      </c>
      <c r="B16" s="13" t="s">
        <v>59</v>
      </c>
      <c r="C16" s="71" t="s">
        <v>50</v>
      </c>
      <c r="D16" s="73" t="s">
        <v>56</v>
      </c>
      <c r="E16" s="199">
        <v>500</v>
      </c>
      <c r="F16" s="215">
        <v>0</v>
      </c>
      <c r="G16" s="216">
        <f t="shared" ref="G16" si="3">+H16-E16</f>
        <v>0</v>
      </c>
      <c r="H16" s="115">
        <v>500</v>
      </c>
      <c r="I16" s="116"/>
    </row>
    <row r="17" spans="1:9" ht="15.6" x14ac:dyDescent="0.3">
      <c r="A17" s="58">
        <v>46043</v>
      </c>
      <c r="B17" s="13" t="s">
        <v>70</v>
      </c>
      <c r="C17" s="71" t="s">
        <v>51</v>
      </c>
      <c r="D17" s="73" t="s">
        <v>71</v>
      </c>
      <c r="E17" s="199">
        <f t="shared" ref="E17:E20" si="4">+(H17+I17)/1.16</f>
        <v>183</v>
      </c>
      <c r="F17" s="194"/>
      <c r="G17" s="195">
        <f t="shared" si="1"/>
        <v>29.28</v>
      </c>
      <c r="H17" s="115">
        <v>212.28</v>
      </c>
      <c r="I17" s="116"/>
    </row>
    <row r="18" spans="1:9" ht="15.6" x14ac:dyDescent="0.3">
      <c r="A18" s="58">
        <v>46043</v>
      </c>
      <c r="B18" s="13" t="s">
        <v>55</v>
      </c>
      <c r="C18" s="71" t="s">
        <v>39</v>
      </c>
      <c r="D18" s="73" t="s">
        <v>57</v>
      </c>
      <c r="E18" s="199">
        <f t="shared" si="4"/>
        <v>200</v>
      </c>
      <c r="F18" s="194"/>
      <c r="G18" s="195">
        <f t="shared" si="1"/>
        <v>32</v>
      </c>
      <c r="H18" s="115">
        <v>232</v>
      </c>
      <c r="I18" s="116"/>
    </row>
    <row r="19" spans="1:9" ht="15.6" x14ac:dyDescent="0.3">
      <c r="A19" s="58">
        <v>46044</v>
      </c>
      <c r="B19" s="13" t="s">
        <v>73</v>
      </c>
      <c r="C19" s="71" t="s">
        <v>52</v>
      </c>
      <c r="D19" s="73" t="s">
        <v>72</v>
      </c>
      <c r="E19" s="199">
        <f t="shared" si="4"/>
        <v>150</v>
      </c>
      <c r="F19" s="194"/>
      <c r="G19" s="195">
        <f t="shared" si="1"/>
        <v>24</v>
      </c>
      <c r="H19" s="115">
        <v>174</v>
      </c>
      <c r="I19" s="116"/>
    </row>
    <row r="20" spans="1:9" ht="15.6" x14ac:dyDescent="0.3">
      <c r="A20" s="58">
        <v>46044</v>
      </c>
      <c r="B20" s="13" t="s">
        <v>197</v>
      </c>
      <c r="C20" s="71" t="s">
        <v>53</v>
      </c>
      <c r="D20" s="73" t="s">
        <v>64</v>
      </c>
      <c r="E20" s="199">
        <f t="shared" si="4"/>
        <v>527.37931034482756</v>
      </c>
      <c r="F20" s="194"/>
      <c r="G20" s="195">
        <f t="shared" si="1"/>
        <v>84.380689655172432</v>
      </c>
      <c r="H20" s="115">
        <v>611.76</v>
      </c>
      <c r="I20" s="116"/>
    </row>
    <row r="21" spans="1:9" ht="15.6" x14ac:dyDescent="0.3">
      <c r="A21" s="58">
        <v>46045</v>
      </c>
      <c r="B21" s="273" t="s">
        <v>86</v>
      </c>
      <c r="C21" s="80" t="s">
        <v>97</v>
      </c>
      <c r="D21" s="73" t="s">
        <v>79</v>
      </c>
      <c r="E21" s="199">
        <f t="shared" ref="E21:E35" si="5">+(H21+I21)/1.16</f>
        <v>2575</v>
      </c>
      <c r="F21" s="196">
        <f>+I21-E21</f>
        <v>412</v>
      </c>
      <c r="G21" s="195"/>
      <c r="H21" s="115"/>
      <c r="I21" s="116">
        <v>2987</v>
      </c>
    </row>
    <row r="22" spans="1:9" ht="15.6" x14ac:dyDescent="0.3">
      <c r="A22" s="58">
        <v>46045</v>
      </c>
      <c r="B22" s="273" t="s">
        <v>95</v>
      </c>
      <c r="C22" s="80" t="s">
        <v>94</v>
      </c>
      <c r="D22" s="73" t="s">
        <v>80</v>
      </c>
      <c r="E22" s="199">
        <f t="shared" si="5"/>
        <v>850.00000000000011</v>
      </c>
      <c r="F22" s="196">
        <f t="shared" ref="F22:F34" si="6">+I22-E22</f>
        <v>135.99999999999989</v>
      </c>
      <c r="G22" s="195"/>
      <c r="H22" s="115"/>
      <c r="I22" s="116">
        <v>986</v>
      </c>
    </row>
    <row r="23" spans="1:9" ht="15.6" x14ac:dyDescent="0.3">
      <c r="A23" s="58">
        <v>46045</v>
      </c>
      <c r="B23" s="13" t="s">
        <v>137</v>
      </c>
      <c r="C23" s="81"/>
      <c r="D23" s="73" t="s">
        <v>81</v>
      </c>
      <c r="E23" s="199">
        <f t="shared" si="5"/>
        <v>0</v>
      </c>
      <c r="F23" s="217">
        <f t="shared" si="6"/>
        <v>0</v>
      </c>
      <c r="G23" s="216">
        <f t="shared" si="1"/>
        <v>0</v>
      </c>
      <c r="H23" s="115"/>
      <c r="I23" s="116"/>
    </row>
    <row r="24" spans="1:9" ht="15.6" x14ac:dyDescent="0.3">
      <c r="A24" s="58">
        <v>46045</v>
      </c>
      <c r="B24" s="273" t="s">
        <v>92</v>
      </c>
      <c r="C24" s="80" t="s">
        <v>93</v>
      </c>
      <c r="D24" s="73" t="s">
        <v>82</v>
      </c>
      <c r="E24" s="199">
        <f t="shared" si="5"/>
        <v>1150</v>
      </c>
      <c r="F24" s="196">
        <f t="shared" si="6"/>
        <v>184</v>
      </c>
      <c r="G24" s="195"/>
      <c r="H24" s="115"/>
      <c r="I24" s="116">
        <v>1334</v>
      </c>
    </row>
    <row r="25" spans="1:9" ht="15.6" x14ac:dyDescent="0.3">
      <c r="A25" s="58">
        <v>46045</v>
      </c>
      <c r="B25" s="274" t="s">
        <v>85</v>
      </c>
      <c r="C25" s="80" t="s">
        <v>84</v>
      </c>
      <c r="D25" s="73" t="s">
        <v>83</v>
      </c>
      <c r="E25" s="199">
        <f t="shared" si="5"/>
        <v>384</v>
      </c>
      <c r="F25" s="196">
        <f t="shared" si="6"/>
        <v>61.44</v>
      </c>
      <c r="G25" s="195"/>
      <c r="H25" s="115"/>
      <c r="I25" s="116">
        <v>445.44</v>
      </c>
    </row>
    <row r="26" spans="1:9" ht="15.6" x14ac:dyDescent="0.3">
      <c r="A26" s="58">
        <v>46045</v>
      </c>
      <c r="B26" s="55" t="s">
        <v>931</v>
      </c>
      <c r="C26" s="80" t="s">
        <v>91</v>
      </c>
      <c r="D26" s="73" t="s">
        <v>90</v>
      </c>
      <c r="E26" s="378">
        <f t="shared" si="5"/>
        <v>0</v>
      </c>
      <c r="F26" s="217">
        <f t="shared" si="6"/>
        <v>0</v>
      </c>
      <c r="G26" s="216"/>
      <c r="H26" s="379"/>
      <c r="I26" s="380">
        <f>7609.6-7609.6</f>
        <v>0</v>
      </c>
    </row>
    <row r="27" spans="1:9" ht="15.6" x14ac:dyDescent="0.3">
      <c r="A27" s="58">
        <v>46045</v>
      </c>
      <c r="B27" s="52" t="s">
        <v>103</v>
      </c>
      <c r="C27" s="71" t="s">
        <v>101</v>
      </c>
      <c r="D27" s="73" t="s">
        <v>98</v>
      </c>
      <c r="E27" s="199">
        <f t="shared" ref="E27:E28" si="7">+(H27+I27)/1.16</f>
        <v>1200</v>
      </c>
      <c r="F27" s="196"/>
      <c r="G27" s="195">
        <f t="shared" si="1"/>
        <v>192</v>
      </c>
      <c r="H27" s="115">
        <v>1392</v>
      </c>
      <c r="I27" s="116"/>
    </row>
    <row r="28" spans="1:9" ht="15.6" x14ac:dyDescent="0.3">
      <c r="A28" s="58">
        <v>46045</v>
      </c>
      <c r="B28" s="52" t="s">
        <v>102</v>
      </c>
      <c r="C28" s="71" t="s">
        <v>100</v>
      </c>
      <c r="D28" s="73" t="s">
        <v>99</v>
      </c>
      <c r="E28" s="199">
        <f t="shared" si="7"/>
        <v>1327.5000000000002</v>
      </c>
      <c r="F28" s="196"/>
      <c r="G28" s="195">
        <f t="shared" si="1"/>
        <v>212.39999999999986</v>
      </c>
      <c r="H28" s="115">
        <v>1539.9</v>
      </c>
      <c r="I28" s="116"/>
    </row>
    <row r="29" spans="1:9" ht="15.6" x14ac:dyDescent="0.3">
      <c r="A29" s="58">
        <v>46050</v>
      </c>
      <c r="B29" s="273" t="s">
        <v>127</v>
      </c>
      <c r="C29" s="80" t="s">
        <v>126</v>
      </c>
      <c r="D29" s="73" t="s">
        <v>104</v>
      </c>
      <c r="E29" s="199">
        <f t="shared" ref="E29" si="8">+(H29+I29)/1.16</f>
        <v>2250</v>
      </c>
      <c r="F29" s="196">
        <f t="shared" si="6"/>
        <v>360</v>
      </c>
      <c r="G29" s="195"/>
      <c r="H29" s="115"/>
      <c r="I29" s="116">
        <v>2610</v>
      </c>
    </row>
    <row r="30" spans="1:9" ht="15.6" x14ac:dyDescent="0.3">
      <c r="A30" s="58">
        <v>46050</v>
      </c>
      <c r="B30" s="273" t="s">
        <v>663</v>
      </c>
      <c r="C30" s="80" t="s">
        <v>131</v>
      </c>
      <c r="D30" s="73" t="s">
        <v>105</v>
      </c>
      <c r="E30" s="199">
        <f t="shared" si="5"/>
        <v>12603.603448275862</v>
      </c>
      <c r="F30" s="196">
        <f t="shared" si="6"/>
        <v>2016.576551724138</v>
      </c>
      <c r="G30" s="195"/>
      <c r="H30" s="115"/>
      <c r="I30" s="116">
        <v>14620.18</v>
      </c>
    </row>
    <row r="31" spans="1:9" ht="15.6" x14ac:dyDescent="0.3">
      <c r="A31" s="58">
        <v>46050</v>
      </c>
      <c r="B31" s="273" t="s">
        <v>110</v>
      </c>
      <c r="C31" s="80" t="s">
        <v>109</v>
      </c>
      <c r="D31" s="73" t="s">
        <v>106</v>
      </c>
      <c r="E31" s="199">
        <v>13000</v>
      </c>
      <c r="F31" s="217">
        <f t="shared" si="6"/>
        <v>0</v>
      </c>
      <c r="G31" s="216">
        <v>0</v>
      </c>
      <c r="H31" s="115"/>
      <c r="I31" s="116">
        <v>13000</v>
      </c>
    </row>
    <row r="32" spans="1:9" ht="15.6" x14ac:dyDescent="0.3">
      <c r="A32" s="58">
        <v>46050</v>
      </c>
      <c r="B32" s="273" t="s">
        <v>117</v>
      </c>
      <c r="C32" s="80" t="s">
        <v>118</v>
      </c>
      <c r="D32" s="73" t="s">
        <v>107</v>
      </c>
      <c r="E32" s="199">
        <f t="shared" si="5"/>
        <v>178</v>
      </c>
      <c r="F32" s="196">
        <f t="shared" si="6"/>
        <v>28.47999999999999</v>
      </c>
      <c r="G32" s="195"/>
      <c r="H32" s="115"/>
      <c r="I32" s="116">
        <v>206.48</v>
      </c>
    </row>
    <row r="33" spans="1:9" ht="15.6" x14ac:dyDescent="0.3">
      <c r="A33" s="58">
        <v>46050</v>
      </c>
      <c r="B33" s="273" t="s">
        <v>129</v>
      </c>
      <c r="C33" s="80" t="s">
        <v>128</v>
      </c>
      <c r="D33" s="73" t="s">
        <v>108</v>
      </c>
      <c r="E33" s="199">
        <v>2940</v>
      </c>
      <c r="F33" s="217">
        <f t="shared" si="6"/>
        <v>0</v>
      </c>
      <c r="G33" s="216">
        <v>0</v>
      </c>
      <c r="H33" s="115"/>
      <c r="I33" s="116">
        <v>2940</v>
      </c>
    </row>
    <row r="34" spans="1:9" ht="15.6" x14ac:dyDescent="0.3">
      <c r="A34" s="58">
        <v>46050</v>
      </c>
      <c r="B34" s="273" t="s">
        <v>178</v>
      </c>
      <c r="C34" s="80" t="s">
        <v>130</v>
      </c>
      <c r="D34" s="73" t="s">
        <v>119</v>
      </c>
      <c r="E34" s="199">
        <f t="shared" si="5"/>
        <v>2574.0000000000005</v>
      </c>
      <c r="F34" s="196">
        <f t="shared" si="6"/>
        <v>411.83999999999969</v>
      </c>
      <c r="G34" s="195"/>
      <c r="H34" s="115"/>
      <c r="I34" s="116">
        <v>2985.84</v>
      </c>
    </row>
    <row r="35" spans="1:9" ht="15.6" x14ac:dyDescent="0.3">
      <c r="A35" s="58">
        <v>46050</v>
      </c>
      <c r="B35" s="13" t="s">
        <v>125</v>
      </c>
      <c r="C35" s="71" t="s">
        <v>54</v>
      </c>
      <c r="D35" s="73" t="s">
        <v>120</v>
      </c>
      <c r="E35" s="199">
        <f t="shared" si="5"/>
        <v>1600</v>
      </c>
      <c r="F35" s="196"/>
      <c r="G35" s="195">
        <f t="shared" si="1"/>
        <v>256</v>
      </c>
      <c r="H35" s="115">
        <v>1856</v>
      </c>
      <c r="I35" s="116"/>
    </row>
    <row r="36" spans="1:9" ht="15.6" x14ac:dyDescent="0.3">
      <c r="A36" s="58">
        <v>46050</v>
      </c>
      <c r="B36" s="13" t="s">
        <v>133</v>
      </c>
      <c r="C36" s="71" t="s">
        <v>132</v>
      </c>
      <c r="D36" s="73" t="s">
        <v>121</v>
      </c>
      <c r="E36" s="199">
        <v>4000</v>
      </c>
      <c r="F36" s="217">
        <v>0</v>
      </c>
      <c r="G36" s="216">
        <f t="shared" si="1"/>
        <v>0</v>
      </c>
      <c r="H36" s="115">
        <v>4000</v>
      </c>
      <c r="I36" s="116"/>
    </row>
    <row r="37" spans="1:9" ht="15.6" x14ac:dyDescent="0.3">
      <c r="A37" s="58">
        <v>46050</v>
      </c>
      <c r="B37" s="13" t="s">
        <v>123</v>
      </c>
      <c r="C37" s="71" t="s">
        <v>124</v>
      </c>
      <c r="D37" s="73" t="s">
        <v>122</v>
      </c>
      <c r="E37" s="199">
        <v>674.45</v>
      </c>
      <c r="F37" s="217">
        <v>0</v>
      </c>
      <c r="G37" s="216">
        <f t="shared" si="1"/>
        <v>0</v>
      </c>
      <c r="H37" s="115">
        <v>674.45</v>
      </c>
      <c r="I37" s="116"/>
    </row>
    <row r="38" spans="1:9" ht="15.6" x14ac:dyDescent="0.3">
      <c r="A38" s="58">
        <v>46050</v>
      </c>
      <c r="B38" s="13" t="s">
        <v>136</v>
      </c>
      <c r="C38" s="71" t="s">
        <v>135</v>
      </c>
      <c r="D38" s="73" t="s">
        <v>134</v>
      </c>
      <c r="E38" s="199">
        <v>780.32</v>
      </c>
      <c r="F38" s="217">
        <v>0</v>
      </c>
      <c r="G38" s="216">
        <f t="shared" si="1"/>
        <v>0</v>
      </c>
      <c r="H38" s="115">
        <v>780.32</v>
      </c>
      <c r="I38" s="116"/>
    </row>
    <row r="39" spans="1:9" ht="15.6" x14ac:dyDescent="0.3">
      <c r="A39" s="58">
        <v>46050</v>
      </c>
      <c r="B39" s="13" t="s">
        <v>176</v>
      </c>
      <c r="C39" s="71" t="s">
        <v>177</v>
      </c>
      <c r="D39" s="73" t="s">
        <v>140</v>
      </c>
      <c r="E39" s="199">
        <v>250</v>
      </c>
      <c r="F39" s="217">
        <v>0</v>
      </c>
      <c r="G39" s="216">
        <f t="shared" si="1"/>
        <v>0</v>
      </c>
      <c r="H39" s="115">
        <v>250</v>
      </c>
      <c r="I39" s="116"/>
    </row>
    <row r="40" spans="1:9" ht="15.6" x14ac:dyDescent="0.3">
      <c r="A40" s="58">
        <v>46050</v>
      </c>
      <c r="B40" s="13" t="s">
        <v>166</v>
      </c>
      <c r="C40" s="71" t="s">
        <v>167</v>
      </c>
      <c r="D40" s="73" t="s">
        <v>141</v>
      </c>
      <c r="E40" s="199">
        <f t="shared" ref="E40:E49" si="9">+H40/1.16</f>
        <v>130.00000000000003</v>
      </c>
      <c r="F40" s="196"/>
      <c r="G40" s="195">
        <f t="shared" si="1"/>
        <v>20.799999999999983</v>
      </c>
      <c r="H40" s="115">
        <v>150.80000000000001</v>
      </c>
      <c r="I40" s="116"/>
    </row>
    <row r="41" spans="1:9" ht="15.6" x14ac:dyDescent="0.3">
      <c r="A41" s="58">
        <v>46050</v>
      </c>
      <c r="B41" s="13" t="s">
        <v>179</v>
      </c>
      <c r="C41" s="71" t="s">
        <v>180</v>
      </c>
      <c r="D41" s="73" t="s">
        <v>142</v>
      </c>
      <c r="E41" s="199">
        <f t="shared" si="9"/>
        <v>250.00000000000003</v>
      </c>
      <c r="F41" s="196"/>
      <c r="G41" s="195">
        <f t="shared" si="1"/>
        <v>39.999999999999972</v>
      </c>
      <c r="H41" s="115">
        <v>290</v>
      </c>
      <c r="I41" s="116"/>
    </row>
    <row r="42" spans="1:9" ht="15.6" x14ac:dyDescent="0.3">
      <c r="A42" s="58">
        <v>46050</v>
      </c>
      <c r="B42" s="13" t="s">
        <v>170</v>
      </c>
      <c r="C42" s="71" t="s">
        <v>171</v>
      </c>
      <c r="D42" s="73" t="s">
        <v>143</v>
      </c>
      <c r="E42" s="199">
        <f t="shared" si="9"/>
        <v>275</v>
      </c>
      <c r="F42" s="196"/>
      <c r="G42" s="195">
        <f t="shared" si="1"/>
        <v>44</v>
      </c>
      <c r="H42" s="115">
        <v>319</v>
      </c>
      <c r="I42" s="116"/>
    </row>
    <row r="43" spans="1:9" ht="15.6" x14ac:dyDescent="0.3">
      <c r="A43" s="58">
        <v>46050</v>
      </c>
      <c r="B43" s="13" t="s">
        <v>173</v>
      </c>
      <c r="C43" s="71" t="s">
        <v>172</v>
      </c>
      <c r="D43" s="73" t="s">
        <v>144</v>
      </c>
      <c r="E43" s="199">
        <f t="shared" si="9"/>
        <v>350</v>
      </c>
      <c r="F43" s="196"/>
      <c r="G43" s="195">
        <f t="shared" si="1"/>
        <v>56</v>
      </c>
      <c r="H43" s="115">
        <v>406</v>
      </c>
      <c r="I43" s="116"/>
    </row>
    <row r="44" spans="1:9" ht="15.6" x14ac:dyDescent="0.3">
      <c r="A44" s="58">
        <v>46050</v>
      </c>
      <c r="B44" s="13" t="s">
        <v>174</v>
      </c>
      <c r="C44" s="71" t="s">
        <v>175</v>
      </c>
      <c r="D44" s="73" t="s">
        <v>145</v>
      </c>
      <c r="E44" s="199">
        <f t="shared" si="9"/>
        <v>350</v>
      </c>
      <c r="F44" s="196"/>
      <c r="G44" s="195">
        <f t="shared" si="1"/>
        <v>56</v>
      </c>
      <c r="H44" s="115">
        <v>406</v>
      </c>
      <c r="I44" s="116"/>
    </row>
    <row r="45" spans="1:9" ht="15.6" x14ac:dyDescent="0.3">
      <c r="A45" s="58">
        <v>46050</v>
      </c>
      <c r="B45" s="13" t="s">
        <v>159</v>
      </c>
      <c r="C45" s="71" t="s">
        <v>160</v>
      </c>
      <c r="D45" s="73" t="s">
        <v>146</v>
      </c>
      <c r="E45" s="199">
        <f t="shared" si="9"/>
        <v>100</v>
      </c>
      <c r="F45" s="196"/>
      <c r="G45" s="195">
        <f t="shared" si="1"/>
        <v>16</v>
      </c>
      <c r="H45" s="115">
        <v>116</v>
      </c>
      <c r="I45" s="116"/>
    </row>
    <row r="46" spans="1:9" ht="15.6" x14ac:dyDescent="0.3">
      <c r="A46" s="58">
        <v>46050</v>
      </c>
      <c r="B46" s="13" t="s">
        <v>168</v>
      </c>
      <c r="C46" s="71" t="s">
        <v>169</v>
      </c>
      <c r="D46" s="73" t="s">
        <v>147</v>
      </c>
      <c r="E46" s="199">
        <f t="shared" si="9"/>
        <v>275</v>
      </c>
      <c r="F46" s="196"/>
      <c r="G46" s="195">
        <f t="shared" si="1"/>
        <v>44</v>
      </c>
      <c r="H46" s="115">
        <v>319</v>
      </c>
      <c r="I46" s="116"/>
    </row>
    <row r="47" spans="1:9" ht="15.6" x14ac:dyDescent="0.3">
      <c r="A47" s="58">
        <v>46050</v>
      </c>
      <c r="B47" s="13" t="s">
        <v>158</v>
      </c>
      <c r="C47" s="71" t="s">
        <v>161</v>
      </c>
      <c r="D47" s="73" t="s">
        <v>148</v>
      </c>
      <c r="E47" s="199">
        <f t="shared" si="9"/>
        <v>240</v>
      </c>
      <c r="F47" s="196"/>
      <c r="G47" s="195">
        <f t="shared" si="1"/>
        <v>38.399999999999977</v>
      </c>
      <c r="H47" s="115">
        <v>278.39999999999998</v>
      </c>
      <c r="I47" s="116"/>
    </row>
    <row r="48" spans="1:9" ht="15.6" x14ac:dyDescent="0.3">
      <c r="A48" s="58">
        <v>46050</v>
      </c>
      <c r="B48" s="13" t="s">
        <v>157</v>
      </c>
      <c r="C48" s="71" t="s">
        <v>162</v>
      </c>
      <c r="D48" s="73" t="s">
        <v>149</v>
      </c>
      <c r="E48" s="199">
        <f t="shared" si="9"/>
        <v>400</v>
      </c>
      <c r="F48" s="196"/>
      <c r="G48" s="195">
        <f t="shared" si="1"/>
        <v>64</v>
      </c>
      <c r="H48" s="115">
        <v>464</v>
      </c>
      <c r="I48" s="116"/>
    </row>
    <row r="49" spans="1:9" ht="15.6" x14ac:dyDescent="0.3">
      <c r="A49" s="58">
        <v>46050</v>
      </c>
      <c r="B49" s="13" t="s">
        <v>156</v>
      </c>
      <c r="C49" s="71" t="s">
        <v>163</v>
      </c>
      <c r="D49" s="73" t="s">
        <v>150</v>
      </c>
      <c r="E49" s="199">
        <f t="shared" si="9"/>
        <v>225.00000000000003</v>
      </c>
      <c r="F49" s="196"/>
      <c r="G49" s="195">
        <f t="shared" si="1"/>
        <v>35.999999999999972</v>
      </c>
      <c r="H49" s="115">
        <v>261</v>
      </c>
      <c r="I49" s="116"/>
    </row>
    <row r="50" spans="1:9" ht="15.6" x14ac:dyDescent="0.3">
      <c r="A50" s="58">
        <v>46050</v>
      </c>
      <c r="B50" s="13" t="s">
        <v>155</v>
      </c>
      <c r="C50" s="71" t="s">
        <v>164</v>
      </c>
      <c r="D50" s="73" t="s">
        <v>151</v>
      </c>
      <c r="E50" s="199">
        <f t="shared" ref="E50:E51" si="10">+H50/1.16</f>
        <v>129.5</v>
      </c>
      <c r="F50" s="196"/>
      <c r="G50" s="195">
        <f t="shared" si="1"/>
        <v>20.72</v>
      </c>
      <c r="H50" s="115">
        <v>150.22</v>
      </c>
      <c r="I50" s="116"/>
    </row>
    <row r="51" spans="1:9" ht="15.6" x14ac:dyDescent="0.3">
      <c r="A51" s="58">
        <v>46050</v>
      </c>
      <c r="B51" s="13" t="s">
        <v>154</v>
      </c>
      <c r="C51" s="71" t="s">
        <v>165</v>
      </c>
      <c r="D51" s="73" t="s">
        <v>152</v>
      </c>
      <c r="E51" s="199">
        <f t="shared" si="10"/>
        <v>147.00000000000003</v>
      </c>
      <c r="F51" s="196"/>
      <c r="G51" s="195">
        <f t="shared" si="1"/>
        <v>23.519999999999982</v>
      </c>
      <c r="H51" s="334">
        <v>170.52</v>
      </c>
      <c r="I51" s="116"/>
    </row>
    <row r="52" spans="1:9" ht="15.6" x14ac:dyDescent="0.3">
      <c r="A52" s="51"/>
      <c r="B52" s="54"/>
      <c r="C52" s="53"/>
      <c r="D52" s="74"/>
      <c r="E52" s="199"/>
      <c r="F52" s="194"/>
      <c r="G52" s="195"/>
      <c r="H52" s="115"/>
      <c r="I52" s="116"/>
    </row>
    <row r="53" spans="1:9" ht="18" x14ac:dyDescent="0.35">
      <c r="A53" s="191"/>
      <c r="B53" s="70">
        <v>46023</v>
      </c>
      <c r="C53" s="47"/>
      <c r="D53" s="75"/>
      <c r="E53" s="193">
        <f t="shared" ref="E53:I53" si="11">SUM(E5:E52)</f>
        <v>55790.80448275862</v>
      </c>
      <c r="F53" s="185">
        <f t="shared" si="11"/>
        <v>3610.3365517241373</v>
      </c>
      <c r="G53" s="192">
        <f t="shared" si="11"/>
        <v>1453.0289655172412</v>
      </c>
      <c r="H53" s="117">
        <f t="shared" si="11"/>
        <v>18739.230000000003</v>
      </c>
      <c r="I53" s="118">
        <f t="shared" si="11"/>
        <v>42114.94</v>
      </c>
    </row>
    <row r="54" spans="1:9" ht="15.6" x14ac:dyDescent="0.3">
      <c r="A54" s="51"/>
      <c r="B54" s="54"/>
      <c r="C54" s="54"/>
      <c r="D54" s="76"/>
      <c r="E54" s="199"/>
      <c r="F54" s="194"/>
      <c r="G54" s="195"/>
      <c r="H54" s="119"/>
      <c r="I54" s="120"/>
    </row>
    <row r="55" spans="1:9" ht="15.6" x14ac:dyDescent="0.3">
      <c r="A55" s="59">
        <v>46056</v>
      </c>
      <c r="B55" s="272" t="s">
        <v>618</v>
      </c>
      <c r="C55" s="80" t="s">
        <v>196</v>
      </c>
      <c r="D55" s="73" t="s">
        <v>153</v>
      </c>
      <c r="E55" s="199">
        <f t="shared" ref="E55" si="12">+(H55+I55)/1.16</f>
        <v>9016</v>
      </c>
      <c r="F55" s="196">
        <f t="shared" ref="F55" si="13">+I55-E55</f>
        <v>1442.5599999999995</v>
      </c>
      <c r="G55" s="195">
        <v>0</v>
      </c>
      <c r="H55" s="115"/>
      <c r="I55" s="116">
        <v>10458.56</v>
      </c>
    </row>
    <row r="56" spans="1:9" ht="15.6" x14ac:dyDescent="0.3">
      <c r="A56" s="59">
        <v>46057</v>
      </c>
      <c r="B56" s="272" t="s">
        <v>619</v>
      </c>
      <c r="C56" s="80" t="s">
        <v>251</v>
      </c>
      <c r="D56" s="73" t="s">
        <v>248</v>
      </c>
      <c r="E56" s="199">
        <f t="shared" ref="E56:E59" si="14">+(H56+I56)/1.16</f>
        <v>224</v>
      </c>
      <c r="F56" s="196">
        <f t="shared" ref="F56:F59" si="15">+I56-E56</f>
        <v>35.839999999999975</v>
      </c>
      <c r="G56" s="195">
        <v>0</v>
      </c>
      <c r="H56" s="115"/>
      <c r="I56" s="116">
        <v>259.83999999999997</v>
      </c>
    </row>
    <row r="57" spans="1:9" ht="15.6" x14ac:dyDescent="0.3">
      <c r="A57" s="59">
        <v>46057</v>
      </c>
      <c r="B57" s="272" t="s">
        <v>255</v>
      </c>
      <c r="C57" s="80" t="s">
        <v>252</v>
      </c>
      <c r="D57" s="73" t="s">
        <v>249</v>
      </c>
      <c r="E57" s="199">
        <f t="shared" si="14"/>
        <v>13265</v>
      </c>
      <c r="F57" s="196">
        <f t="shared" si="15"/>
        <v>2122.3999999999996</v>
      </c>
      <c r="G57" s="271">
        <v>0</v>
      </c>
      <c r="H57" s="113"/>
      <c r="I57" s="114">
        <v>15387.4</v>
      </c>
    </row>
    <row r="58" spans="1:9" ht="15.6" x14ac:dyDescent="0.3">
      <c r="A58" s="59">
        <v>46057</v>
      </c>
      <c r="B58" s="272" t="s">
        <v>254</v>
      </c>
      <c r="C58" s="80" t="s">
        <v>253</v>
      </c>
      <c r="D58" s="73" t="s">
        <v>250</v>
      </c>
      <c r="E58" s="199">
        <f t="shared" si="14"/>
        <v>1965.0000000000002</v>
      </c>
      <c r="F58" s="196">
        <f t="shared" si="15"/>
        <v>314.39999999999986</v>
      </c>
      <c r="G58" s="195">
        <v>0</v>
      </c>
      <c r="H58" s="115"/>
      <c r="I58" s="116">
        <v>2279.4</v>
      </c>
    </row>
    <row r="59" spans="1:9" ht="15.6" x14ac:dyDescent="0.3">
      <c r="A59" s="59">
        <v>46064</v>
      </c>
      <c r="B59" s="272" t="s">
        <v>272</v>
      </c>
      <c r="C59" s="80" t="s">
        <v>273</v>
      </c>
      <c r="D59" s="73" t="s">
        <v>274</v>
      </c>
      <c r="E59" s="199">
        <f t="shared" si="14"/>
        <v>69800</v>
      </c>
      <c r="F59" s="196">
        <f t="shared" si="15"/>
        <v>11168</v>
      </c>
      <c r="G59" s="195">
        <v>0</v>
      </c>
      <c r="H59" s="115"/>
      <c r="I59" s="116">
        <v>80968</v>
      </c>
    </row>
    <row r="60" spans="1:9" ht="15.6" x14ac:dyDescent="0.3">
      <c r="A60" s="59">
        <v>46065</v>
      </c>
      <c r="B60" s="54" t="s">
        <v>276</v>
      </c>
      <c r="C60" s="55" t="s">
        <v>277</v>
      </c>
      <c r="D60" s="73" t="s">
        <v>275</v>
      </c>
      <c r="E60" s="199">
        <f t="shared" ref="E60:E72" si="16">+H60/1.16</f>
        <v>136.5</v>
      </c>
      <c r="F60" s="196"/>
      <c r="G60" s="195">
        <f t="shared" ref="G60:G72" si="17">+H60-E60</f>
        <v>21.840000000000003</v>
      </c>
      <c r="H60" s="115">
        <v>158.34</v>
      </c>
      <c r="I60" s="116"/>
    </row>
    <row r="61" spans="1:9" ht="15.6" x14ac:dyDescent="0.3">
      <c r="A61" s="59">
        <v>46065</v>
      </c>
      <c r="B61" s="54" t="s">
        <v>278</v>
      </c>
      <c r="C61" s="55" t="s">
        <v>279</v>
      </c>
      <c r="D61" s="73" t="s">
        <v>281</v>
      </c>
      <c r="E61" s="199">
        <f t="shared" si="16"/>
        <v>105</v>
      </c>
      <c r="F61" s="196"/>
      <c r="G61" s="195">
        <f t="shared" si="17"/>
        <v>16.799999999999997</v>
      </c>
      <c r="H61" s="115">
        <v>121.8</v>
      </c>
      <c r="I61" s="116"/>
    </row>
    <row r="62" spans="1:9" ht="15.6" x14ac:dyDescent="0.3">
      <c r="A62" s="59">
        <v>46065</v>
      </c>
      <c r="B62" s="54" t="s">
        <v>285</v>
      </c>
      <c r="C62" s="55" t="s">
        <v>280</v>
      </c>
      <c r="D62" s="73" t="s">
        <v>282</v>
      </c>
      <c r="E62" s="199">
        <f t="shared" si="16"/>
        <v>252</v>
      </c>
      <c r="F62" s="196"/>
      <c r="G62" s="195">
        <f t="shared" si="17"/>
        <v>40.319999999999993</v>
      </c>
      <c r="H62" s="115">
        <v>292.32</v>
      </c>
      <c r="I62" s="116"/>
    </row>
    <row r="63" spans="1:9" ht="15.6" x14ac:dyDescent="0.3">
      <c r="A63" s="59">
        <v>46065</v>
      </c>
      <c r="B63" s="54" t="s">
        <v>284</v>
      </c>
      <c r="C63" s="55" t="s">
        <v>286</v>
      </c>
      <c r="D63" s="73" t="s">
        <v>283</v>
      </c>
      <c r="E63" s="199">
        <f t="shared" si="16"/>
        <v>420</v>
      </c>
      <c r="F63" s="196"/>
      <c r="G63" s="195">
        <f t="shared" si="17"/>
        <v>67.199999999999989</v>
      </c>
      <c r="H63" s="115">
        <v>487.2</v>
      </c>
      <c r="I63" s="116"/>
    </row>
    <row r="64" spans="1:9" ht="15.6" x14ac:dyDescent="0.3">
      <c r="A64" s="59">
        <v>46065</v>
      </c>
      <c r="B64" s="54" t="s">
        <v>295</v>
      </c>
      <c r="C64" s="55" t="s">
        <v>287</v>
      </c>
      <c r="D64" s="73" t="s">
        <v>290</v>
      </c>
      <c r="E64" s="199">
        <f t="shared" si="16"/>
        <v>236.25000000000003</v>
      </c>
      <c r="F64" s="196"/>
      <c r="G64" s="195">
        <f t="shared" si="17"/>
        <v>37.799999999999983</v>
      </c>
      <c r="H64" s="115">
        <v>274.05</v>
      </c>
      <c r="I64" s="116"/>
    </row>
    <row r="65" spans="1:9" ht="15.6" x14ac:dyDescent="0.3">
      <c r="A65" s="59">
        <v>46065</v>
      </c>
      <c r="B65" s="54" t="s">
        <v>296</v>
      </c>
      <c r="C65" s="55" t="s">
        <v>288</v>
      </c>
      <c r="D65" s="73" t="s">
        <v>291</v>
      </c>
      <c r="E65" s="199">
        <f t="shared" si="16"/>
        <v>1393.8793103448277</v>
      </c>
      <c r="F65" s="196"/>
      <c r="G65" s="195">
        <f t="shared" si="17"/>
        <v>223.02068965517242</v>
      </c>
      <c r="H65" s="115">
        <v>1616.9</v>
      </c>
      <c r="I65" s="116"/>
    </row>
    <row r="66" spans="1:9" ht="15.6" x14ac:dyDescent="0.3">
      <c r="A66" s="59">
        <v>46065</v>
      </c>
      <c r="B66" s="54" t="s">
        <v>297</v>
      </c>
      <c r="C66" s="55" t="s">
        <v>289</v>
      </c>
      <c r="D66" s="73" t="s">
        <v>292</v>
      </c>
      <c r="E66" s="199">
        <f t="shared" si="16"/>
        <v>210</v>
      </c>
      <c r="F66" s="196"/>
      <c r="G66" s="195">
        <f t="shared" si="17"/>
        <v>33.599999999999994</v>
      </c>
      <c r="H66" s="115">
        <v>243.6</v>
      </c>
      <c r="I66" s="116"/>
    </row>
    <row r="67" spans="1:9" ht="15.6" x14ac:dyDescent="0.3">
      <c r="A67" s="59">
        <v>46065</v>
      </c>
      <c r="B67" s="54" t="s">
        <v>298</v>
      </c>
      <c r="C67" s="55" t="s">
        <v>299</v>
      </c>
      <c r="D67" s="73" t="s">
        <v>293</v>
      </c>
      <c r="E67" s="199">
        <f t="shared" si="16"/>
        <v>192.14655172413794</v>
      </c>
      <c r="F67" s="196"/>
      <c r="G67" s="195">
        <f t="shared" si="17"/>
        <v>30.74344827586205</v>
      </c>
      <c r="H67" s="115">
        <v>222.89</v>
      </c>
      <c r="I67" s="116"/>
    </row>
    <row r="68" spans="1:9" ht="15.6" x14ac:dyDescent="0.3">
      <c r="A68" s="59">
        <v>46065</v>
      </c>
      <c r="B68" s="54" t="s">
        <v>304</v>
      </c>
      <c r="C68" s="55" t="s">
        <v>300</v>
      </c>
      <c r="D68" s="73" t="s">
        <v>294</v>
      </c>
      <c r="E68" s="199">
        <f t="shared" si="16"/>
        <v>135.98275862068968</v>
      </c>
      <c r="F68" s="196"/>
      <c r="G68" s="195">
        <f t="shared" si="17"/>
        <v>21.757241379310329</v>
      </c>
      <c r="H68" s="115">
        <v>157.74</v>
      </c>
      <c r="I68" s="116"/>
    </row>
    <row r="69" spans="1:9" ht="15.6" x14ac:dyDescent="0.3">
      <c r="A69" s="59">
        <v>46065</v>
      </c>
      <c r="B69" s="54" t="s">
        <v>305</v>
      </c>
      <c r="C69" s="55" t="s">
        <v>301</v>
      </c>
      <c r="D69" s="73" t="s">
        <v>303</v>
      </c>
      <c r="E69" s="199">
        <f t="shared" si="16"/>
        <v>154.35344827586209</v>
      </c>
      <c r="F69" s="196"/>
      <c r="G69" s="195">
        <f t="shared" si="17"/>
        <v>24.696551724137919</v>
      </c>
      <c r="H69" s="115">
        <v>179.05</v>
      </c>
      <c r="I69" s="116"/>
    </row>
    <row r="70" spans="1:9" ht="15.6" x14ac:dyDescent="0.3">
      <c r="A70" s="59">
        <v>46065</v>
      </c>
      <c r="B70" s="54" t="s">
        <v>306</v>
      </c>
      <c r="C70" s="55" t="s">
        <v>302</v>
      </c>
      <c r="D70" s="73" t="s">
        <v>307</v>
      </c>
      <c r="E70" s="199">
        <f t="shared" si="16"/>
        <v>1200</v>
      </c>
      <c r="F70" s="196"/>
      <c r="G70" s="195">
        <f t="shared" si="17"/>
        <v>192</v>
      </c>
      <c r="H70" s="115">
        <v>1392</v>
      </c>
      <c r="I70" s="116"/>
    </row>
    <row r="71" spans="1:9" ht="15.6" x14ac:dyDescent="0.3">
      <c r="A71" s="59">
        <v>46065</v>
      </c>
      <c r="B71" s="54" t="s">
        <v>310</v>
      </c>
      <c r="C71" s="55" t="s">
        <v>309</v>
      </c>
      <c r="D71" s="73" t="s">
        <v>308</v>
      </c>
      <c r="E71" s="199">
        <f t="shared" si="16"/>
        <v>126</v>
      </c>
      <c r="F71" s="196"/>
      <c r="G71" s="195">
        <f t="shared" si="17"/>
        <v>20.159999999999997</v>
      </c>
      <c r="H71" s="115">
        <v>146.16</v>
      </c>
      <c r="I71" s="116"/>
    </row>
    <row r="72" spans="1:9" ht="15.6" x14ac:dyDescent="0.3">
      <c r="A72" s="59">
        <v>46065</v>
      </c>
      <c r="B72" s="54" t="s">
        <v>311</v>
      </c>
      <c r="C72" s="55" t="s">
        <v>312</v>
      </c>
      <c r="D72" s="73" t="s">
        <v>313</v>
      </c>
      <c r="E72" s="199">
        <f t="shared" si="16"/>
        <v>262.5</v>
      </c>
      <c r="F72" s="196"/>
      <c r="G72" s="195">
        <f t="shared" si="17"/>
        <v>42</v>
      </c>
      <c r="H72" s="115">
        <v>304.5</v>
      </c>
      <c r="I72" s="116"/>
    </row>
    <row r="73" spans="1:9" ht="15.6" x14ac:dyDescent="0.3">
      <c r="A73" s="59">
        <v>46070</v>
      </c>
      <c r="B73" s="54" t="s">
        <v>318</v>
      </c>
      <c r="C73" s="55" t="s">
        <v>319</v>
      </c>
      <c r="D73" s="73" t="s">
        <v>329</v>
      </c>
      <c r="E73" s="199">
        <f t="shared" ref="E73:E113" si="18">+H73/1.16</f>
        <v>3000</v>
      </c>
      <c r="F73" s="196"/>
      <c r="G73" s="195">
        <f t="shared" ref="G73:G113" si="19">+H73-E73</f>
        <v>480</v>
      </c>
      <c r="H73" s="115">
        <v>3480</v>
      </c>
      <c r="I73" s="116"/>
    </row>
    <row r="74" spans="1:9" ht="15.6" x14ac:dyDescent="0.3">
      <c r="A74" s="59">
        <v>46070</v>
      </c>
      <c r="B74" s="54" t="s">
        <v>330</v>
      </c>
      <c r="C74" s="55" t="s">
        <v>320</v>
      </c>
      <c r="D74" s="73" t="s">
        <v>331</v>
      </c>
      <c r="E74" s="199">
        <f t="shared" si="18"/>
        <v>174.56034482758622</v>
      </c>
      <c r="F74" s="196"/>
      <c r="G74" s="195">
        <f t="shared" si="19"/>
        <v>27.929655172413788</v>
      </c>
      <c r="H74" s="115">
        <v>202.49</v>
      </c>
      <c r="I74" s="116"/>
    </row>
    <row r="75" spans="1:9" ht="15.6" x14ac:dyDescent="0.3">
      <c r="A75" s="59">
        <v>46070</v>
      </c>
      <c r="B75" s="54" t="s">
        <v>333</v>
      </c>
      <c r="C75" s="55" t="s">
        <v>321</v>
      </c>
      <c r="D75" s="73" t="s">
        <v>332</v>
      </c>
      <c r="E75" s="276">
        <v>500</v>
      </c>
      <c r="F75" s="217">
        <v>0</v>
      </c>
      <c r="G75" s="216">
        <v>0</v>
      </c>
      <c r="H75" s="115">
        <v>500</v>
      </c>
      <c r="I75" s="116"/>
    </row>
    <row r="76" spans="1:9" ht="15.6" x14ac:dyDescent="0.3">
      <c r="A76" s="59">
        <v>46070</v>
      </c>
      <c r="B76" s="54" t="s">
        <v>334</v>
      </c>
      <c r="C76" s="55" t="s">
        <v>322</v>
      </c>
      <c r="D76" s="73" t="s">
        <v>335</v>
      </c>
      <c r="E76" s="199">
        <v>700</v>
      </c>
      <c r="F76" s="217">
        <v>0</v>
      </c>
      <c r="G76" s="216">
        <v>0</v>
      </c>
      <c r="H76" s="115">
        <v>700</v>
      </c>
      <c r="I76" s="116"/>
    </row>
    <row r="77" spans="1:9" ht="15.6" x14ac:dyDescent="0.3">
      <c r="A77" s="59">
        <v>46070</v>
      </c>
      <c r="B77" s="54" t="s">
        <v>336</v>
      </c>
      <c r="C77" s="55" t="s">
        <v>323</v>
      </c>
      <c r="D77" s="73" t="s">
        <v>337</v>
      </c>
      <c r="E77" s="199">
        <v>250</v>
      </c>
      <c r="F77" s="217">
        <v>0</v>
      </c>
      <c r="G77" s="216">
        <v>0</v>
      </c>
      <c r="H77" s="115">
        <v>250</v>
      </c>
      <c r="I77" s="116"/>
    </row>
    <row r="78" spans="1:9" ht="15.6" x14ac:dyDescent="0.3">
      <c r="A78" s="59">
        <v>46070</v>
      </c>
      <c r="B78" s="54" t="s">
        <v>338</v>
      </c>
      <c r="C78" s="55" t="s">
        <v>324</v>
      </c>
      <c r="D78" s="73" t="s">
        <v>339</v>
      </c>
      <c r="E78" s="199">
        <v>750</v>
      </c>
      <c r="F78" s="217">
        <v>0</v>
      </c>
      <c r="G78" s="216">
        <v>0</v>
      </c>
      <c r="H78" s="115">
        <v>750</v>
      </c>
      <c r="I78" s="116"/>
    </row>
    <row r="79" spans="1:9" ht="15.6" x14ac:dyDescent="0.3">
      <c r="A79" s="59">
        <v>46070</v>
      </c>
      <c r="B79" s="54" t="s">
        <v>340</v>
      </c>
      <c r="C79" s="55" t="s">
        <v>325</v>
      </c>
      <c r="D79" s="73" t="s">
        <v>342</v>
      </c>
      <c r="E79" s="199">
        <v>1200</v>
      </c>
      <c r="F79" s="217">
        <v>0</v>
      </c>
      <c r="G79" s="216">
        <v>0</v>
      </c>
      <c r="H79" s="115">
        <v>1200</v>
      </c>
      <c r="I79" s="116"/>
    </row>
    <row r="80" spans="1:9" ht="15.6" x14ac:dyDescent="0.3">
      <c r="A80" s="59">
        <v>46070</v>
      </c>
      <c r="B80" s="54" t="s">
        <v>341</v>
      </c>
      <c r="C80" s="55" t="s">
        <v>326</v>
      </c>
      <c r="D80" s="73" t="s">
        <v>343</v>
      </c>
      <c r="E80" s="199">
        <v>157.5</v>
      </c>
      <c r="F80" s="217">
        <v>0</v>
      </c>
      <c r="G80" s="216">
        <v>0</v>
      </c>
      <c r="H80" s="115">
        <v>157.5</v>
      </c>
      <c r="I80" s="116"/>
    </row>
    <row r="81" spans="1:9" ht="15.6" x14ac:dyDescent="0.3">
      <c r="A81" s="59">
        <v>46070</v>
      </c>
      <c r="B81" s="54" t="s">
        <v>345</v>
      </c>
      <c r="C81" s="55" t="s">
        <v>327</v>
      </c>
      <c r="D81" s="73" t="s">
        <v>344</v>
      </c>
      <c r="E81" s="199">
        <v>400</v>
      </c>
      <c r="F81" s="217">
        <v>0</v>
      </c>
      <c r="G81" s="216">
        <v>0</v>
      </c>
      <c r="H81" s="115">
        <v>400</v>
      </c>
      <c r="I81" s="116"/>
    </row>
    <row r="82" spans="1:9" ht="15.6" x14ac:dyDescent="0.3">
      <c r="A82" s="59">
        <v>46070</v>
      </c>
      <c r="B82" s="54" t="s">
        <v>354</v>
      </c>
      <c r="C82" s="55" t="s">
        <v>328</v>
      </c>
      <c r="D82" s="73" t="s">
        <v>353</v>
      </c>
      <c r="E82" s="199">
        <f t="shared" si="18"/>
        <v>534.13793103448279</v>
      </c>
      <c r="F82" s="196"/>
      <c r="G82" s="195">
        <f t="shared" si="19"/>
        <v>85.462068965517233</v>
      </c>
      <c r="H82" s="115">
        <v>619.6</v>
      </c>
      <c r="I82" s="116"/>
    </row>
    <row r="83" spans="1:9" ht="15.6" x14ac:dyDescent="0.3">
      <c r="A83" s="59">
        <v>46070</v>
      </c>
      <c r="B83" s="54" t="s">
        <v>355</v>
      </c>
      <c r="C83" s="55" t="s">
        <v>346</v>
      </c>
      <c r="D83" s="73" t="s">
        <v>356</v>
      </c>
      <c r="E83" s="199">
        <f t="shared" si="18"/>
        <v>600</v>
      </c>
      <c r="F83" s="196"/>
      <c r="G83" s="195">
        <f t="shared" si="19"/>
        <v>96</v>
      </c>
      <c r="H83" s="115">
        <v>696</v>
      </c>
      <c r="I83" s="116"/>
    </row>
    <row r="84" spans="1:9" ht="15.6" x14ac:dyDescent="0.3">
      <c r="A84" s="59">
        <v>46070</v>
      </c>
      <c r="B84" s="54" t="s">
        <v>362</v>
      </c>
      <c r="C84" s="55" t="s">
        <v>347</v>
      </c>
      <c r="D84" s="73" t="s">
        <v>357</v>
      </c>
      <c r="E84" s="199">
        <f t="shared" si="18"/>
        <v>500.00000000000006</v>
      </c>
      <c r="F84" s="196"/>
      <c r="G84" s="195">
        <f t="shared" si="19"/>
        <v>79.999999999999943</v>
      </c>
      <c r="H84" s="115">
        <v>580</v>
      </c>
      <c r="I84" s="116"/>
    </row>
    <row r="85" spans="1:9" ht="15.6" x14ac:dyDescent="0.3">
      <c r="A85" s="59">
        <v>46070</v>
      </c>
      <c r="B85" s="54" t="s">
        <v>363</v>
      </c>
      <c r="C85" s="55" t="s">
        <v>348</v>
      </c>
      <c r="D85" s="73" t="s">
        <v>358</v>
      </c>
      <c r="E85" s="199">
        <f t="shared" si="18"/>
        <v>250.00000000000003</v>
      </c>
      <c r="F85" s="196"/>
      <c r="G85" s="195">
        <f t="shared" si="19"/>
        <v>39.999999999999972</v>
      </c>
      <c r="H85" s="115">
        <v>290</v>
      </c>
      <c r="I85" s="116"/>
    </row>
    <row r="86" spans="1:9" ht="15.6" x14ac:dyDescent="0.3">
      <c r="A86" s="59">
        <v>46070</v>
      </c>
      <c r="B86" s="54" t="s">
        <v>364</v>
      </c>
      <c r="C86" s="55" t="s">
        <v>349</v>
      </c>
      <c r="D86" s="73" t="s">
        <v>359</v>
      </c>
      <c r="E86" s="199">
        <f t="shared" si="18"/>
        <v>250.00000000000003</v>
      </c>
      <c r="F86" s="196"/>
      <c r="G86" s="195">
        <f t="shared" si="19"/>
        <v>39.999999999999972</v>
      </c>
      <c r="H86" s="115">
        <v>290</v>
      </c>
      <c r="I86" s="116"/>
    </row>
    <row r="87" spans="1:9" ht="15.6" x14ac:dyDescent="0.3">
      <c r="A87" s="59">
        <v>46070</v>
      </c>
      <c r="B87" s="54" t="s">
        <v>365</v>
      </c>
      <c r="C87" s="55" t="s">
        <v>350</v>
      </c>
      <c r="D87" s="73" t="s">
        <v>360</v>
      </c>
      <c r="E87" s="199">
        <f t="shared" si="18"/>
        <v>275</v>
      </c>
      <c r="F87" s="196"/>
      <c r="G87" s="195">
        <f t="shared" si="19"/>
        <v>44</v>
      </c>
      <c r="H87" s="115">
        <v>319</v>
      </c>
      <c r="I87" s="116"/>
    </row>
    <row r="88" spans="1:9" ht="15.6" x14ac:dyDescent="0.3">
      <c r="A88" s="59">
        <v>46070</v>
      </c>
      <c r="B88" s="54" t="s">
        <v>366</v>
      </c>
      <c r="C88" s="55" t="s">
        <v>351</v>
      </c>
      <c r="D88" s="73" t="s">
        <v>361</v>
      </c>
      <c r="E88" s="199">
        <f t="shared" si="18"/>
        <v>350</v>
      </c>
      <c r="F88" s="196"/>
      <c r="G88" s="195">
        <f t="shared" si="19"/>
        <v>56</v>
      </c>
      <c r="H88" s="115">
        <v>406</v>
      </c>
      <c r="I88" s="116"/>
    </row>
    <row r="89" spans="1:9" ht="15.6" x14ac:dyDescent="0.3">
      <c r="A89" s="59">
        <v>46070</v>
      </c>
      <c r="B89" s="54" t="s">
        <v>367</v>
      </c>
      <c r="C89" s="55" t="s">
        <v>352</v>
      </c>
      <c r="D89" s="73" t="s">
        <v>368</v>
      </c>
      <c r="E89" s="199">
        <f t="shared" si="18"/>
        <v>192.14655172413794</v>
      </c>
      <c r="F89" s="196"/>
      <c r="G89" s="195">
        <f t="shared" si="19"/>
        <v>30.74344827586205</v>
      </c>
      <c r="H89" s="115">
        <v>222.89</v>
      </c>
      <c r="I89" s="116"/>
    </row>
    <row r="90" spans="1:9" ht="15.6" x14ac:dyDescent="0.3">
      <c r="A90" s="59">
        <v>46071</v>
      </c>
      <c r="B90" s="54" t="s">
        <v>380</v>
      </c>
      <c r="C90" s="80" t="s">
        <v>379</v>
      </c>
      <c r="D90" s="73" t="s">
        <v>374</v>
      </c>
      <c r="E90" s="199">
        <f t="shared" ref="E90:E92" si="20">+(H90+I90)/1.16</f>
        <v>8752.2500000000018</v>
      </c>
      <c r="F90" s="196">
        <f t="shared" ref="F90:F113" si="21">+I90-E90</f>
        <v>1400.3599999999988</v>
      </c>
      <c r="G90" s="195">
        <v>0</v>
      </c>
      <c r="H90" s="115"/>
      <c r="I90" s="116">
        <v>10152.61</v>
      </c>
    </row>
    <row r="91" spans="1:9" ht="15.6" x14ac:dyDescent="0.3">
      <c r="A91" s="59">
        <v>46071</v>
      </c>
      <c r="B91" s="54" t="s">
        <v>381</v>
      </c>
      <c r="C91" s="80" t="s">
        <v>382</v>
      </c>
      <c r="D91" s="73" t="s">
        <v>375</v>
      </c>
      <c r="E91" s="199">
        <f t="shared" si="20"/>
        <v>4812.5</v>
      </c>
      <c r="F91" s="196">
        <f t="shared" si="21"/>
        <v>770</v>
      </c>
      <c r="G91" s="195">
        <v>0</v>
      </c>
      <c r="H91" s="115"/>
      <c r="I91" s="116">
        <v>5582.5</v>
      </c>
    </row>
    <row r="92" spans="1:9" ht="15.6" x14ac:dyDescent="0.3">
      <c r="A92" s="59">
        <v>46071</v>
      </c>
      <c r="B92" s="54" t="s">
        <v>378</v>
      </c>
      <c r="C92" s="80" t="s">
        <v>377</v>
      </c>
      <c r="D92" s="73" t="s">
        <v>376</v>
      </c>
      <c r="E92" s="199">
        <f t="shared" si="20"/>
        <v>980</v>
      </c>
      <c r="F92" s="196">
        <f t="shared" si="21"/>
        <v>156.79999999999995</v>
      </c>
      <c r="G92" s="195">
        <v>0</v>
      </c>
      <c r="H92" s="115"/>
      <c r="I92" s="116">
        <v>1136.8</v>
      </c>
    </row>
    <row r="93" spans="1:9" ht="15.6" x14ac:dyDescent="0.3">
      <c r="A93" s="59">
        <v>46073</v>
      </c>
      <c r="B93" s="54" t="s">
        <v>388</v>
      </c>
      <c r="C93" s="55" t="s">
        <v>389</v>
      </c>
      <c r="D93" s="73" t="s">
        <v>386</v>
      </c>
      <c r="E93" s="199">
        <f t="shared" si="18"/>
        <v>181.43965517241381</v>
      </c>
      <c r="F93" s="196"/>
      <c r="G93" s="195">
        <f t="shared" si="19"/>
        <v>29.030344827586191</v>
      </c>
      <c r="H93" s="115">
        <v>210.47</v>
      </c>
      <c r="I93" s="116"/>
    </row>
    <row r="94" spans="1:9" ht="15.6" x14ac:dyDescent="0.3">
      <c r="A94" s="59">
        <v>46073</v>
      </c>
      <c r="B94" s="54" t="s">
        <v>391</v>
      </c>
      <c r="C94" s="55" t="s">
        <v>390</v>
      </c>
      <c r="D94" s="73" t="s">
        <v>387</v>
      </c>
      <c r="E94" s="199">
        <f t="shared" si="18"/>
        <v>189.00000000000003</v>
      </c>
      <c r="F94" s="196"/>
      <c r="G94" s="195">
        <f t="shared" si="19"/>
        <v>30.239999999999981</v>
      </c>
      <c r="H94" s="115">
        <v>219.24</v>
      </c>
      <c r="I94" s="116"/>
    </row>
    <row r="95" spans="1:9" ht="15.6" x14ac:dyDescent="0.3">
      <c r="A95" s="59">
        <v>46073</v>
      </c>
      <c r="B95" s="54" t="s">
        <v>394</v>
      </c>
      <c r="C95" s="55" t="s">
        <v>393</v>
      </c>
      <c r="D95" s="73" t="s">
        <v>392</v>
      </c>
      <c r="E95" s="199">
        <f t="shared" si="18"/>
        <v>210</v>
      </c>
      <c r="F95" s="196"/>
      <c r="G95" s="195">
        <f t="shared" si="19"/>
        <v>33.599999999999994</v>
      </c>
      <c r="H95" s="115">
        <v>243.6</v>
      </c>
      <c r="I95" s="116"/>
    </row>
    <row r="96" spans="1:9" ht="15.6" x14ac:dyDescent="0.3">
      <c r="A96" s="59">
        <v>46077</v>
      </c>
      <c r="B96" s="54" t="s">
        <v>467</v>
      </c>
      <c r="C96" s="55" t="s">
        <v>462</v>
      </c>
      <c r="D96" s="73" t="s">
        <v>427</v>
      </c>
      <c r="E96" s="199">
        <f t="shared" si="18"/>
        <v>105</v>
      </c>
      <c r="F96" s="196"/>
      <c r="G96" s="195">
        <f t="shared" si="19"/>
        <v>16.799999999999997</v>
      </c>
      <c r="H96" s="115">
        <v>121.8</v>
      </c>
      <c r="I96" s="116"/>
    </row>
    <row r="97" spans="1:9" ht="15.6" x14ac:dyDescent="0.3">
      <c r="A97" s="59">
        <v>46077</v>
      </c>
      <c r="B97" s="54" t="s">
        <v>468</v>
      </c>
      <c r="C97" s="55" t="s">
        <v>463</v>
      </c>
      <c r="D97" s="73" t="s">
        <v>428</v>
      </c>
      <c r="E97" s="199">
        <f t="shared" si="18"/>
        <v>252</v>
      </c>
      <c r="F97" s="196"/>
      <c r="G97" s="195">
        <f t="shared" si="19"/>
        <v>40.319999999999993</v>
      </c>
      <c r="H97" s="115">
        <v>292.32</v>
      </c>
      <c r="I97" s="116"/>
    </row>
    <row r="98" spans="1:9" ht="15.6" x14ac:dyDescent="0.3">
      <c r="A98" s="59">
        <v>46077</v>
      </c>
      <c r="B98" s="54" t="s">
        <v>469</v>
      </c>
      <c r="C98" s="55" t="s">
        <v>464</v>
      </c>
      <c r="D98" s="73" t="s">
        <v>429</v>
      </c>
      <c r="E98" s="199">
        <f t="shared" si="18"/>
        <v>420</v>
      </c>
      <c r="F98" s="196"/>
      <c r="G98" s="195">
        <f t="shared" si="19"/>
        <v>67.199999999999989</v>
      </c>
      <c r="H98" s="115">
        <v>487.2</v>
      </c>
      <c r="I98" s="116"/>
    </row>
    <row r="99" spans="1:9" ht="15.6" x14ac:dyDescent="0.3">
      <c r="A99" s="59">
        <v>46077</v>
      </c>
      <c r="B99" s="54" t="s">
        <v>470</v>
      </c>
      <c r="C99" s="55" t="s">
        <v>465</v>
      </c>
      <c r="D99" s="73" t="s">
        <v>430</v>
      </c>
      <c r="E99" s="199">
        <f t="shared" si="18"/>
        <v>1393.8793103448277</v>
      </c>
      <c r="F99" s="196"/>
      <c r="G99" s="195">
        <f t="shared" si="19"/>
        <v>223.02068965517242</v>
      </c>
      <c r="H99" s="115">
        <v>1616.9</v>
      </c>
      <c r="I99" s="116"/>
    </row>
    <row r="100" spans="1:9" ht="15.6" x14ac:dyDescent="0.3">
      <c r="A100" s="59">
        <v>46077</v>
      </c>
      <c r="B100" s="54" t="s">
        <v>471</v>
      </c>
      <c r="C100" s="55" t="s">
        <v>536</v>
      </c>
      <c r="D100" s="73" t="s">
        <v>431</v>
      </c>
      <c r="E100" s="199">
        <f t="shared" ref="E100:E111" si="22">+H100/1.16</f>
        <v>192.14655172413794</v>
      </c>
      <c r="F100" s="196"/>
      <c r="G100" s="195">
        <f t="shared" ref="G100:G110" si="23">+H100-E100</f>
        <v>30.74344827586205</v>
      </c>
      <c r="H100" s="115">
        <v>222.89</v>
      </c>
      <c r="I100" s="116"/>
    </row>
    <row r="101" spans="1:9" ht="15.6" x14ac:dyDescent="0.3">
      <c r="A101" s="59">
        <v>46077</v>
      </c>
      <c r="B101" s="54" t="s">
        <v>472</v>
      </c>
      <c r="C101" s="55" t="s">
        <v>537</v>
      </c>
      <c r="D101" s="73" t="s">
        <v>432</v>
      </c>
      <c r="E101" s="199">
        <f t="shared" si="22"/>
        <v>192.14655172413794</v>
      </c>
      <c r="F101" s="196"/>
      <c r="G101" s="195">
        <f t="shared" si="23"/>
        <v>30.74344827586205</v>
      </c>
      <c r="H101" s="115">
        <v>222.89</v>
      </c>
      <c r="I101" s="116"/>
    </row>
    <row r="102" spans="1:9" ht="15.6" x14ac:dyDescent="0.3">
      <c r="A102" s="59">
        <v>46077</v>
      </c>
      <c r="B102" s="54" t="s">
        <v>460</v>
      </c>
      <c r="C102" s="55" t="s">
        <v>466</v>
      </c>
      <c r="D102" s="73" t="s">
        <v>433</v>
      </c>
      <c r="E102" s="199">
        <f t="shared" si="22"/>
        <v>135.98275862068968</v>
      </c>
      <c r="F102" s="196"/>
      <c r="G102" s="195">
        <f t="shared" si="23"/>
        <v>21.757241379310329</v>
      </c>
      <c r="H102" s="115">
        <v>157.74</v>
      </c>
      <c r="I102" s="116"/>
    </row>
    <row r="103" spans="1:9" ht="15.6" x14ac:dyDescent="0.3">
      <c r="A103" s="59">
        <v>46077</v>
      </c>
      <c r="B103" s="54" t="s">
        <v>473</v>
      </c>
      <c r="C103" s="55" t="s">
        <v>461</v>
      </c>
      <c r="D103" s="73" t="s">
        <v>434</v>
      </c>
      <c r="E103" s="199">
        <f t="shared" si="22"/>
        <v>154.35344827586209</v>
      </c>
      <c r="F103" s="196"/>
      <c r="G103" s="195">
        <f t="shared" si="23"/>
        <v>24.696551724137919</v>
      </c>
      <c r="H103" s="115">
        <v>179.05</v>
      </c>
      <c r="I103" s="116"/>
    </row>
    <row r="104" spans="1:9" ht="15.6" x14ac:dyDescent="0.3">
      <c r="A104" s="59">
        <v>46077</v>
      </c>
      <c r="B104" s="272" t="s">
        <v>441</v>
      </c>
      <c r="C104" s="80" t="s">
        <v>442</v>
      </c>
      <c r="D104" s="73" t="s">
        <v>435</v>
      </c>
      <c r="E104" s="199">
        <f t="shared" ref="E104:E109" si="24">+(H104+I104)/1.16</f>
        <v>637.60344827586209</v>
      </c>
      <c r="F104" s="196">
        <f t="shared" ref="F104:F109" si="25">+I104-E104</f>
        <v>102.01655172413791</v>
      </c>
      <c r="G104" s="195">
        <v>0</v>
      </c>
      <c r="H104" s="115"/>
      <c r="I104" s="116">
        <v>739.62</v>
      </c>
    </row>
    <row r="105" spans="1:9" ht="15.6" x14ac:dyDescent="0.3">
      <c r="A105" s="59">
        <v>46077</v>
      </c>
      <c r="B105" s="272" t="s">
        <v>443</v>
      </c>
      <c r="C105" s="80" t="s">
        <v>444</v>
      </c>
      <c r="D105" s="73" t="s">
        <v>436</v>
      </c>
      <c r="E105" s="199">
        <f t="shared" si="24"/>
        <v>8085.0000000000009</v>
      </c>
      <c r="F105" s="196">
        <f t="shared" si="25"/>
        <v>1293.5999999999995</v>
      </c>
      <c r="G105" s="195">
        <v>0</v>
      </c>
      <c r="H105" s="115"/>
      <c r="I105" s="116">
        <v>9378.6</v>
      </c>
    </row>
    <row r="106" spans="1:9" ht="15.6" x14ac:dyDescent="0.3">
      <c r="A106" s="59">
        <v>46077</v>
      </c>
      <c r="B106" s="54" t="s">
        <v>445</v>
      </c>
      <c r="C106" s="80" t="s">
        <v>446</v>
      </c>
      <c r="D106" s="73" t="s">
        <v>437</v>
      </c>
      <c r="E106" s="199">
        <f t="shared" si="24"/>
        <v>1505</v>
      </c>
      <c r="F106" s="196">
        <f t="shared" si="25"/>
        <v>240.79999999999995</v>
      </c>
      <c r="G106" s="195">
        <v>0</v>
      </c>
      <c r="H106" s="115"/>
      <c r="I106" s="116">
        <v>1745.8</v>
      </c>
    </row>
    <row r="107" spans="1:9" ht="15.6" x14ac:dyDescent="0.3">
      <c r="A107" s="59">
        <v>46077</v>
      </c>
      <c r="B107" s="272" t="s">
        <v>448</v>
      </c>
      <c r="C107" s="80" t="s">
        <v>447</v>
      </c>
      <c r="D107" s="73" t="s">
        <v>438</v>
      </c>
      <c r="E107" s="199">
        <f t="shared" si="24"/>
        <v>1735</v>
      </c>
      <c r="F107" s="196">
        <f t="shared" si="25"/>
        <v>277.59999999999991</v>
      </c>
      <c r="G107" s="195">
        <v>0</v>
      </c>
      <c r="H107" s="115"/>
      <c r="I107" s="116">
        <v>2012.6</v>
      </c>
    </row>
    <row r="108" spans="1:9" ht="15.6" x14ac:dyDescent="0.3">
      <c r="A108" s="59">
        <v>46078</v>
      </c>
      <c r="B108" s="272" t="s">
        <v>449</v>
      </c>
      <c r="C108" s="80" t="s">
        <v>450</v>
      </c>
      <c r="D108" s="73" t="s">
        <v>439</v>
      </c>
      <c r="E108" s="199">
        <f t="shared" si="24"/>
        <v>1140.0000000000002</v>
      </c>
      <c r="F108" s="196">
        <f t="shared" si="25"/>
        <v>182.39999999999986</v>
      </c>
      <c r="G108" s="195">
        <v>0</v>
      </c>
      <c r="H108" s="115"/>
      <c r="I108" s="116">
        <v>1322.4</v>
      </c>
    </row>
    <row r="109" spans="1:9" ht="15.6" x14ac:dyDescent="0.3">
      <c r="A109" s="59">
        <v>46078</v>
      </c>
      <c r="B109" s="54" t="s">
        <v>452</v>
      </c>
      <c r="C109" s="80" t="s">
        <v>451</v>
      </c>
      <c r="D109" s="73" t="s">
        <v>440</v>
      </c>
      <c r="E109" s="199">
        <f t="shared" si="24"/>
        <v>400</v>
      </c>
      <c r="F109" s="196">
        <f t="shared" si="25"/>
        <v>64</v>
      </c>
      <c r="G109" s="195">
        <v>0</v>
      </c>
      <c r="H109" s="115"/>
      <c r="I109" s="116">
        <v>464</v>
      </c>
    </row>
    <row r="110" spans="1:9" ht="15.6" x14ac:dyDescent="0.3">
      <c r="A110" s="59">
        <v>46078</v>
      </c>
      <c r="B110" s="54" t="s">
        <v>458</v>
      </c>
      <c r="C110" s="55" t="s">
        <v>459</v>
      </c>
      <c r="D110" s="73" t="s">
        <v>453</v>
      </c>
      <c r="E110" s="199">
        <f t="shared" si="22"/>
        <v>236.25000000000003</v>
      </c>
      <c r="F110" s="196"/>
      <c r="G110" s="195">
        <f t="shared" si="23"/>
        <v>37.799999999999983</v>
      </c>
      <c r="H110" s="115">
        <v>274.05</v>
      </c>
      <c r="I110" s="116"/>
    </row>
    <row r="111" spans="1:9" ht="15.6" x14ac:dyDescent="0.3">
      <c r="A111" s="59">
        <v>46078</v>
      </c>
      <c r="B111" s="54" t="s">
        <v>476</v>
      </c>
      <c r="C111" s="55" t="s">
        <v>477</v>
      </c>
      <c r="D111" s="73" t="s">
        <v>454</v>
      </c>
      <c r="E111" s="199">
        <f t="shared" si="22"/>
        <v>215.51724137931035</v>
      </c>
      <c r="F111" s="217">
        <v>0</v>
      </c>
      <c r="G111" s="216">
        <v>0</v>
      </c>
      <c r="H111" s="115">
        <v>250</v>
      </c>
      <c r="I111" s="116"/>
    </row>
    <row r="112" spans="1:9" ht="15.6" x14ac:dyDescent="0.3">
      <c r="A112" s="59">
        <v>46078</v>
      </c>
      <c r="B112" s="54" t="s">
        <v>456</v>
      </c>
      <c r="C112" s="55" t="s">
        <v>457</v>
      </c>
      <c r="D112" s="73" t="s">
        <v>455</v>
      </c>
      <c r="E112" s="199">
        <v>400</v>
      </c>
      <c r="F112" s="217">
        <v>0</v>
      </c>
      <c r="G112" s="216">
        <v>0</v>
      </c>
      <c r="H112" s="115">
        <v>400</v>
      </c>
      <c r="I112" s="116"/>
    </row>
    <row r="113" spans="1:9" ht="15.6" x14ac:dyDescent="0.3">
      <c r="A113" s="59"/>
      <c r="B113" s="54"/>
      <c r="C113" s="55"/>
      <c r="D113" s="73"/>
      <c r="E113" s="199">
        <f t="shared" si="18"/>
        <v>0</v>
      </c>
      <c r="F113" s="196">
        <f t="shared" si="21"/>
        <v>0</v>
      </c>
      <c r="G113" s="195">
        <f t="shared" si="19"/>
        <v>0</v>
      </c>
      <c r="H113" s="115"/>
      <c r="I113" s="116"/>
    </row>
    <row r="114" spans="1:9" ht="18" x14ac:dyDescent="0.35">
      <c r="A114" s="51"/>
      <c r="B114" s="70"/>
      <c r="C114" s="47"/>
      <c r="D114" s="75"/>
      <c r="E114" s="193">
        <f t="shared" ref="E114:I114" si="26">SUM(E54:E113)</f>
        <v>141503.02586206899</v>
      </c>
      <c r="F114" s="185">
        <f t="shared" si="26"/>
        <v>19570.776551724131</v>
      </c>
      <c r="G114" s="192">
        <f t="shared" si="26"/>
        <v>2338.0248275862068</v>
      </c>
      <c r="H114" s="117">
        <f t="shared" si="26"/>
        <v>21558.18</v>
      </c>
      <c r="I114" s="133">
        <f t="shared" si="26"/>
        <v>141888.12999999998</v>
      </c>
    </row>
    <row r="115" spans="1:9" ht="15.6" x14ac:dyDescent="0.3">
      <c r="A115" s="51"/>
      <c r="B115" s="54"/>
      <c r="C115" s="54"/>
      <c r="D115" s="76"/>
      <c r="E115" s="199"/>
      <c r="F115" s="194"/>
      <c r="G115" s="195"/>
      <c r="H115" s="119"/>
      <c r="I115" s="120"/>
    </row>
    <row r="116" spans="1:9" ht="15.6" x14ac:dyDescent="0.3">
      <c r="A116" s="59">
        <v>46083</v>
      </c>
      <c r="B116" s="54" t="s">
        <v>530</v>
      </c>
      <c r="C116" s="80" t="s">
        <v>529</v>
      </c>
      <c r="D116" s="73" t="s">
        <v>490</v>
      </c>
      <c r="E116" s="199">
        <v>22005</v>
      </c>
      <c r="F116" s="217">
        <f t="shared" ref="F116" si="27">+I116-E116</f>
        <v>0</v>
      </c>
      <c r="G116" s="216">
        <v>0</v>
      </c>
      <c r="H116" s="115"/>
      <c r="I116" s="116">
        <v>22005</v>
      </c>
    </row>
    <row r="117" spans="1:9" ht="15.6" x14ac:dyDescent="0.3">
      <c r="A117" s="59">
        <v>46083</v>
      </c>
      <c r="B117" s="54" t="s">
        <v>527</v>
      </c>
      <c r="C117" s="80" t="s">
        <v>528</v>
      </c>
      <c r="D117" s="73" t="s">
        <v>493</v>
      </c>
      <c r="E117" s="199">
        <f t="shared" ref="E117" si="28">+(H117+I117)/1.16</f>
        <v>900.00000000000011</v>
      </c>
      <c r="F117" s="196">
        <f t="shared" ref="F117" si="29">+I117-E117</f>
        <v>143.99999999999989</v>
      </c>
      <c r="G117" s="195">
        <v>0</v>
      </c>
      <c r="H117" s="115"/>
      <c r="I117" s="116">
        <v>1044</v>
      </c>
    </row>
    <row r="118" spans="1:9" ht="15.6" x14ac:dyDescent="0.3">
      <c r="A118" s="59">
        <v>46083</v>
      </c>
      <c r="B118" s="54" t="s">
        <v>525</v>
      </c>
      <c r="C118" s="80" t="s">
        <v>526</v>
      </c>
      <c r="D118" s="73" t="s">
        <v>494</v>
      </c>
      <c r="E118" s="199">
        <f t="shared" ref="E118" si="30">+(H118+I118)/1.16</f>
        <v>1416</v>
      </c>
      <c r="F118" s="196">
        <f t="shared" ref="F118" si="31">+I118-E118</f>
        <v>226.55999999999995</v>
      </c>
      <c r="G118" s="195">
        <v>0</v>
      </c>
      <c r="H118" s="115"/>
      <c r="I118" s="116">
        <v>1642.56</v>
      </c>
    </row>
    <row r="119" spans="1:9" ht="15.6" x14ac:dyDescent="0.3">
      <c r="A119" s="59">
        <v>46083</v>
      </c>
      <c r="B119" s="54" t="s">
        <v>524</v>
      </c>
      <c r="C119" s="80" t="s">
        <v>523</v>
      </c>
      <c r="D119" s="73" t="s">
        <v>495</v>
      </c>
      <c r="E119" s="199">
        <f t="shared" ref="E119:E120" si="32">+(H119+I119)/1.16</f>
        <v>360.00000000000006</v>
      </c>
      <c r="F119" s="196">
        <f t="shared" ref="F119:F120" si="33">+I119-E119</f>
        <v>57.599999999999966</v>
      </c>
      <c r="G119" s="195">
        <v>0</v>
      </c>
      <c r="H119" s="115"/>
      <c r="I119" s="116">
        <v>417.6</v>
      </c>
    </row>
    <row r="120" spans="1:9" ht="15.6" x14ac:dyDescent="0.3">
      <c r="A120" s="59">
        <v>46084</v>
      </c>
      <c r="B120" s="54" t="s">
        <v>534</v>
      </c>
      <c r="C120" s="80" t="s">
        <v>533</v>
      </c>
      <c r="D120" s="73" t="s">
        <v>496</v>
      </c>
      <c r="E120" s="199">
        <f t="shared" si="32"/>
        <v>14967.991379310344</v>
      </c>
      <c r="F120" s="196">
        <f t="shared" si="33"/>
        <v>2394.8786206896548</v>
      </c>
      <c r="G120" s="195">
        <v>0</v>
      </c>
      <c r="H120" s="115"/>
      <c r="I120" s="116">
        <v>17362.87</v>
      </c>
    </row>
    <row r="121" spans="1:9" ht="15.6" x14ac:dyDescent="0.3">
      <c r="A121" s="59">
        <v>46084</v>
      </c>
      <c r="B121" s="54" t="s">
        <v>515</v>
      </c>
      <c r="C121" s="55" t="s">
        <v>516</v>
      </c>
      <c r="D121" s="73" t="s">
        <v>497</v>
      </c>
      <c r="E121" s="199">
        <f t="shared" ref="E121:E122" si="34">+H121/1.16</f>
        <v>50</v>
      </c>
      <c r="F121" s="196"/>
      <c r="G121" s="195">
        <f t="shared" ref="G121:G122" si="35">+H121-E121</f>
        <v>8</v>
      </c>
      <c r="H121" s="115">
        <v>58</v>
      </c>
      <c r="I121" s="116"/>
    </row>
    <row r="122" spans="1:9" ht="15.6" x14ac:dyDescent="0.3">
      <c r="A122" s="59">
        <v>46084</v>
      </c>
      <c r="B122" s="54" t="s">
        <v>513</v>
      </c>
      <c r="C122" s="55" t="s">
        <v>514</v>
      </c>
      <c r="D122" s="73" t="s">
        <v>498</v>
      </c>
      <c r="E122" s="199">
        <f t="shared" si="34"/>
        <v>522.04310344827593</v>
      </c>
      <c r="F122" s="196"/>
      <c r="G122" s="195">
        <f t="shared" si="35"/>
        <v>83.526896551724121</v>
      </c>
      <c r="H122" s="115">
        <v>605.57000000000005</v>
      </c>
      <c r="I122" s="116"/>
    </row>
    <row r="123" spans="1:9" ht="15.6" x14ac:dyDescent="0.3">
      <c r="A123" s="59">
        <v>46084</v>
      </c>
      <c r="B123" s="54" t="s">
        <v>532</v>
      </c>
      <c r="C123" s="55" t="s">
        <v>531</v>
      </c>
      <c r="D123" s="73" t="s">
        <v>499</v>
      </c>
      <c r="E123" s="199">
        <f t="shared" ref="E123:E124" si="36">+H123/1.16</f>
        <v>262.5</v>
      </c>
      <c r="F123" s="196"/>
      <c r="G123" s="195">
        <f t="shared" ref="G123:G124" si="37">+H123-E123</f>
        <v>42</v>
      </c>
      <c r="H123" s="115">
        <v>304.5</v>
      </c>
      <c r="I123" s="116"/>
    </row>
    <row r="124" spans="1:9" ht="15.6" x14ac:dyDescent="0.3">
      <c r="A124" s="59">
        <v>46084</v>
      </c>
      <c r="B124" s="54" t="s">
        <v>509</v>
      </c>
      <c r="C124" s="55" t="s">
        <v>510</v>
      </c>
      <c r="D124" s="73" t="s">
        <v>500</v>
      </c>
      <c r="E124" s="199">
        <f t="shared" si="36"/>
        <v>136.5</v>
      </c>
      <c r="F124" s="196"/>
      <c r="G124" s="195">
        <f t="shared" si="37"/>
        <v>21.840000000000003</v>
      </c>
      <c r="H124" s="115">
        <v>158.34</v>
      </c>
      <c r="I124" s="116"/>
    </row>
    <row r="125" spans="1:9" ht="15.6" x14ac:dyDescent="0.3">
      <c r="A125" s="59">
        <v>46084</v>
      </c>
      <c r="B125" s="54" t="s">
        <v>511</v>
      </c>
      <c r="C125" s="55" t="s">
        <v>512</v>
      </c>
      <c r="D125" s="73" t="s">
        <v>501</v>
      </c>
      <c r="E125" s="199">
        <v>500</v>
      </c>
      <c r="F125" s="217">
        <v>0</v>
      </c>
      <c r="G125" s="216">
        <v>0</v>
      </c>
      <c r="H125" s="115">
        <v>500</v>
      </c>
      <c r="I125" s="116"/>
    </row>
    <row r="126" spans="1:9" ht="15.6" x14ac:dyDescent="0.3">
      <c r="A126" s="59">
        <v>46084</v>
      </c>
      <c r="B126" s="54" t="s">
        <v>507</v>
      </c>
      <c r="C126" s="55" t="s">
        <v>508</v>
      </c>
      <c r="D126" s="73" t="s">
        <v>502</v>
      </c>
      <c r="E126" s="199">
        <f t="shared" ref="E126:E127" si="38">+H126/1.16</f>
        <v>1200</v>
      </c>
      <c r="F126" s="196"/>
      <c r="G126" s="195">
        <f t="shared" ref="G126:G127" si="39">+H126-E126</f>
        <v>192</v>
      </c>
      <c r="H126" s="115">
        <v>1392</v>
      </c>
      <c r="I126" s="116"/>
    </row>
    <row r="127" spans="1:9" ht="15.6" x14ac:dyDescent="0.3">
      <c r="A127" s="59">
        <v>46084</v>
      </c>
      <c r="B127" s="54" t="s">
        <v>518</v>
      </c>
      <c r="C127" s="55" t="s">
        <v>519</v>
      </c>
      <c r="D127" s="73" t="s">
        <v>503</v>
      </c>
      <c r="E127" s="199">
        <f t="shared" si="38"/>
        <v>126</v>
      </c>
      <c r="F127" s="196"/>
      <c r="G127" s="195">
        <f t="shared" si="39"/>
        <v>20.159999999999997</v>
      </c>
      <c r="H127" s="115">
        <v>146.16</v>
      </c>
      <c r="I127" s="116"/>
    </row>
    <row r="128" spans="1:9" ht="15.6" x14ac:dyDescent="0.3">
      <c r="A128" s="59">
        <v>46084</v>
      </c>
      <c r="B128" s="54" t="s">
        <v>505</v>
      </c>
      <c r="C128" s="55" t="s">
        <v>506</v>
      </c>
      <c r="D128" s="73" t="s">
        <v>504</v>
      </c>
      <c r="E128" s="199">
        <v>700</v>
      </c>
      <c r="F128" s="217">
        <v>0</v>
      </c>
      <c r="G128" s="216">
        <v>0</v>
      </c>
      <c r="H128" s="115">
        <v>700</v>
      </c>
      <c r="I128" s="116"/>
    </row>
    <row r="129" spans="1:9" ht="15.6" x14ac:dyDescent="0.3">
      <c r="A129" s="59">
        <v>46084</v>
      </c>
      <c r="B129" s="54" t="s">
        <v>522</v>
      </c>
      <c r="C129" s="80" t="s">
        <v>521</v>
      </c>
      <c r="D129" s="73" t="s">
        <v>520</v>
      </c>
      <c r="E129" s="199">
        <f t="shared" ref="E129" si="40">+(H129+I129)/1.16</f>
        <v>400</v>
      </c>
      <c r="F129" s="196">
        <f t="shared" ref="F129" si="41">+I129-E129</f>
        <v>64</v>
      </c>
      <c r="G129" s="195">
        <v>0</v>
      </c>
      <c r="H129" s="115"/>
      <c r="I129" s="116">
        <v>464</v>
      </c>
    </row>
    <row r="130" spans="1:9" ht="15.6" x14ac:dyDescent="0.3">
      <c r="A130" s="59">
        <v>46088</v>
      </c>
      <c r="B130" s="54" t="s">
        <v>580</v>
      </c>
      <c r="C130" s="80" t="s">
        <v>581</v>
      </c>
      <c r="D130" s="73" t="s">
        <v>547</v>
      </c>
      <c r="E130" s="199">
        <f t="shared" ref="E130:E132" si="42">+(H130+I130)/1.16</f>
        <v>135</v>
      </c>
      <c r="F130" s="196">
        <f t="shared" ref="F130:F132" si="43">+I130-E130</f>
        <v>21.599999999999994</v>
      </c>
      <c r="G130" s="195">
        <v>0</v>
      </c>
      <c r="H130" s="115"/>
      <c r="I130" s="116">
        <v>156.6</v>
      </c>
    </row>
    <row r="131" spans="1:9" ht="15.6" x14ac:dyDescent="0.3">
      <c r="A131" s="59">
        <v>46088</v>
      </c>
      <c r="B131" s="54" t="s">
        <v>584</v>
      </c>
      <c r="C131" s="80" t="s">
        <v>582</v>
      </c>
      <c r="D131" s="73" t="s">
        <v>548</v>
      </c>
      <c r="E131" s="199">
        <f t="shared" si="42"/>
        <v>370</v>
      </c>
      <c r="F131" s="196">
        <f t="shared" si="43"/>
        <v>59.199999999999989</v>
      </c>
      <c r="G131" s="195">
        <v>0</v>
      </c>
      <c r="H131" s="115"/>
      <c r="I131" s="116">
        <v>429.2</v>
      </c>
    </row>
    <row r="132" spans="1:9" ht="15.6" x14ac:dyDescent="0.3">
      <c r="A132" s="59">
        <v>46088</v>
      </c>
      <c r="B132" s="54" t="s">
        <v>585</v>
      </c>
      <c r="C132" s="80" t="s">
        <v>583</v>
      </c>
      <c r="D132" s="73" t="s">
        <v>549</v>
      </c>
      <c r="E132" s="199">
        <f t="shared" si="42"/>
        <v>130.00000000000003</v>
      </c>
      <c r="F132" s="196">
        <f t="shared" si="43"/>
        <v>20.799999999999983</v>
      </c>
      <c r="G132" s="195">
        <v>0</v>
      </c>
      <c r="H132" s="115"/>
      <c r="I132" s="116">
        <v>150.80000000000001</v>
      </c>
    </row>
    <row r="133" spans="1:9" ht="15.6" x14ac:dyDescent="0.3">
      <c r="A133" s="59">
        <v>46088</v>
      </c>
      <c r="B133" s="272" t="s">
        <v>560</v>
      </c>
      <c r="C133" s="80" t="s">
        <v>561</v>
      </c>
      <c r="D133" s="73" t="s">
        <v>550</v>
      </c>
      <c r="E133" s="199">
        <f t="shared" ref="E133" si="44">+(H133+I133)/1.16</f>
        <v>1340.0000000000002</v>
      </c>
      <c r="F133" s="196">
        <f t="shared" ref="F133" si="45">+I133-E133</f>
        <v>214.39999999999986</v>
      </c>
      <c r="G133" s="195">
        <v>0</v>
      </c>
      <c r="H133" s="115"/>
      <c r="I133" s="116">
        <v>1554.4</v>
      </c>
    </row>
    <row r="134" spans="1:9" ht="15.6" x14ac:dyDescent="0.3">
      <c r="A134" s="59">
        <v>46088</v>
      </c>
      <c r="B134" s="54" t="s">
        <v>562</v>
      </c>
      <c r="C134" s="55" t="s">
        <v>563</v>
      </c>
      <c r="D134" s="73" t="s">
        <v>551</v>
      </c>
      <c r="E134" s="199">
        <f t="shared" ref="E134" si="46">+H134/1.16</f>
        <v>350</v>
      </c>
      <c r="F134" s="196"/>
      <c r="G134" s="195">
        <f t="shared" ref="G134" si="47">+H134-E134</f>
        <v>56</v>
      </c>
      <c r="H134" s="115">
        <v>406</v>
      </c>
      <c r="I134" s="116"/>
    </row>
    <row r="135" spans="1:9" ht="15.6" x14ac:dyDescent="0.3">
      <c r="A135" s="59">
        <v>46088</v>
      </c>
      <c r="B135" s="54" t="s">
        <v>564</v>
      </c>
      <c r="C135" s="55" t="s">
        <v>565</v>
      </c>
      <c r="D135" s="73" t="s">
        <v>552</v>
      </c>
      <c r="E135" s="199">
        <f t="shared" ref="E135" si="48">+H135/1.16</f>
        <v>600</v>
      </c>
      <c r="F135" s="196"/>
      <c r="G135" s="195">
        <f t="shared" ref="G135" si="49">+H135-E135</f>
        <v>96</v>
      </c>
      <c r="H135" s="115">
        <v>696</v>
      </c>
      <c r="I135" s="116"/>
    </row>
    <row r="136" spans="1:9" ht="15.6" x14ac:dyDescent="0.3">
      <c r="A136" s="59">
        <v>46088</v>
      </c>
      <c r="B136" s="54" t="s">
        <v>572</v>
      </c>
      <c r="C136" s="55" t="s">
        <v>566</v>
      </c>
      <c r="D136" s="73" t="s">
        <v>553</v>
      </c>
      <c r="E136" s="199">
        <f t="shared" ref="E136:E140" si="50">+H136/1.16</f>
        <v>174.56034482758622</v>
      </c>
      <c r="F136" s="196"/>
      <c r="G136" s="195">
        <f t="shared" ref="G136:G140" si="51">+H136-E136</f>
        <v>27.929655172413788</v>
      </c>
      <c r="H136" s="115">
        <v>202.49</v>
      </c>
      <c r="I136" s="116"/>
    </row>
    <row r="137" spans="1:9" ht="15.6" x14ac:dyDescent="0.3">
      <c r="A137" s="59">
        <v>46088</v>
      </c>
      <c r="B137" s="54" t="s">
        <v>573</v>
      </c>
      <c r="C137" s="55" t="s">
        <v>567</v>
      </c>
      <c r="D137" s="73" t="s">
        <v>554</v>
      </c>
      <c r="E137" s="199">
        <f t="shared" si="50"/>
        <v>189.00000000000003</v>
      </c>
      <c r="F137" s="196"/>
      <c r="G137" s="195">
        <f t="shared" si="51"/>
        <v>30.239999999999981</v>
      </c>
      <c r="H137" s="115">
        <v>219.24</v>
      </c>
      <c r="I137" s="116"/>
    </row>
    <row r="138" spans="1:9" ht="15.6" x14ac:dyDescent="0.3">
      <c r="A138" s="59">
        <v>46088</v>
      </c>
      <c r="B138" s="54" t="s">
        <v>574</v>
      </c>
      <c r="C138" s="55" t="s">
        <v>568</v>
      </c>
      <c r="D138" s="73" t="s">
        <v>555</v>
      </c>
      <c r="E138" s="199">
        <f t="shared" si="50"/>
        <v>210</v>
      </c>
      <c r="F138" s="196"/>
      <c r="G138" s="195">
        <f t="shared" si="51"/>
        <v>33.599999999999994</v>
      </c>
      <c r="H138" s="115">
        <v>243.6</v>
      </c>
      <c r="I138" s="116"/>
    </row>
    <row r="139" spans="1:9" ht="15.6" x14ac:dyDescent="0.3">
      <c r="A139" s="59">
        <v>46088</v>
      </c>
      <c r="B139" s="54" t="s">
        <v>575</v>
      </c>
      <c r="C139" s="55" t="s">
        <v>569</v>
      </c>
      <c r="D139" s="73" t="s">
        <v>556</v>
      </c>
      <c r="E139" s="199">
        <f t="shared" si="50"/>
        <v>181.43965517241381</v>
      </c>
      <c r="F139" s="196"/>
      <c r="G139" s="195">
        <f t="shared" si="51"/>
        <v>29.030344827586191</v>
      </c>
      <c r="H139" s="115">
        <v>210.47</v>
      </c>
      <c r="I139" s="116"/>
    </row>
    <row r="140" spans="1:9" ht="15.6" x14ac:dyDescent="0.3">
      <c r="A140" s="59">
        <v>46088</v>
      </c>
      <c r="B140" s="54" t="s">
        <v>576</v>
      </c>
      <c r="C140" s="55" t="s">
        <v>570</v>
      </c>
      <c r="D140" s="73" t="s">
        <v>557</v>
      </c>
      <c r="E140" s="199">
        <f t="shared" si="50"/>
        <v>275</v>
      </c>
      <c r="F140" s="196"/>
      <c r="G140" s="195">
        <f t="shared" si="51"/>
        <v>44</v>
      </c>
      <c r="H140" s="115">
        <v>319</v>
      </c>
      <c r="I140" s="116"/>
    </row>
    <row r="141" spans="1:9" ht="15.6" x14ac:dyDescent="0.3">
      <c r="A141" s="59">
        <v>46088</v>
      </c>
      <c r="B141" s="54" t="s">
        <v>577</v>
      </c>
      <c r="C141" s="55" t="s">
        <v>571</v>
      </c>
      <c r="D141" s="73" t="s">
        <v>558</v>
      </c>
      <c r="E141" s="199">
        <v>157.5</v>
      </c>
      <c r="F141" s="217">
        <v>0</v>
      </c>
      <c r="G141" s="216">
        <v>0</v>
      </c>
      <c r="H141" s="115">
        <v>157.5</v>
      </c>
      <c r="I141" s="116"/>
    </row>
    <row r="142" spans="1:9" ht="15.6" x14ac:dyDescent="0.3">
      <c r="A142" s="59">
        <v>46088</v>
      </c>
      <c r="B142" s="54" t="s">
        <v>579</v>
      </c>
      <c r="C142" s="55" t="s">
        <v>578</v>
      </c>
      <c r="D142" s="73" t="s">
        <v>559</v>
      </c>
      <c r="E142" s="199">
        <v>750</v>
      </c>
      <c r="F142" s="217">
        <v>0</v>
      </c>
      <c r="G142" s="216">
        <v>0</v>
      </c>
      <c r="H142" s="115">
        <v>750</v>
      </c>
      <c r="I142" s="116"/>
    </row>
    <row r="143" spans="1:9" ht="15.6" x14ac:dyDescent="0.3">
      <c r="A143" s="59">
        <v>46093</v>
      </c>
      <c r="B143" s="54" t="s">
        <v>600</v>
      </c>
      <c r="C143" s="80" t="s">
        <v>599</v>
      </c>
      <c r="D143" s="73" t="s">
        <v>589</v>
      </c>
      <c r="E143" s="199">
        <f t="shared" ref="E143" si="52">+(H143+I143)/1.16</f>
        <v>40</v>
      </c>
      <c r="F143" s="196">
        <f t="shared" ref="F143" si="53">+I143-E143</f>
        <v>6.3999999999999986</v>
      </c>
      <c r="G143" s="195">
        <v>0</v>
      </c>
      <c r="H143" s="115"/>
      <c r="I143" s="116">
        <v>46.4</v>
      </c>
    </row>
    <row r="144" spans="1:9" ht="15.6" x14ac:dyDescent="0.3">
      <c r="A144" s="59">
        <v>46093</v>
      </c>
      <c r="B144" s="54" t="s">
        <v>609</v>
      </c>
      <c r="C144" s="80" t="s">
        <v>601</v>
      </c>
      <c r="D144" s="73" t="s">
        <v>590</v>
      </c>
      <c r="E144" s="199">
        <f t="shared" ref="E144" si="54">+(H144+I144)/1.16</f>
        <v>1200</v>
      </c>
      <c r="F144" s="196">
        <f t="shared" ref="F144" si="55">+I144-E144</f>
        <v>192</v>
      </c>
      <c r="G144" s="195">
        <v>0</v>
      </c>
      <c r="H144" s="115"/>
      <c r="I144" s="116">
        <v>1392</v>
      </c>
    </row>
    <row r="145" spans="1:9" ht="15.6" x14ac:dyDescent="0.3">
      <c r="A145" s="59">
        <v>46093</v>
      </c>
      <c r="B145" s="54" t="s">
        <v>610</v>
      </c>
      <c r="C145" s="80" t="s">
        <v>602</v>
      </c>
      <c r="D145" s="73" t="s">
        <v>591</v>
      </c>
      <c r="E145" s="199">
        <f t="shared" ref="E145" si="56">+(H145+I145)/1.16</f>
        <v>206.00000000000003</v>
      </c>
      <c r="F145" s="196">
        <f t="shared" ref="F145" si="57">+I145-E145</f>
        <v>32.95999999999998</v>
      </c>
      <c r="G145" s="195">
        <v>0</v>
      </c>
      <c r="H145" s="115"/>
      <c r="I145" s="116">
        <v>238.96</v>
      </c>
    </row>
    <row r="146" spans="1:9" ht="15.6" x14ac:dyDescent="0.3">
      <c r="A146" s="59">
        <v>46093</v>
      </c>
      <c r="B146" s="54" t="s">
        <v>611</v>
      </c>
      <c r="C146" s="80" t="s">
        <v>603</v>
      </c>
      <c r="D146" s="73" t="s">
        <v>592</v>
      </c>
      <c r="E146" s="199">
        <f t="shared" ref="E146:E149" si="58">+(H146+I146)/1.16</f>
        <v>253.00000000000003</v>
      </c>
      <c r="F146" s="196">
        <f t="shared" ref="F146:F149" si="59">+I146-E146</f>
        <v>40.47999999999999</v>
      </c>
      <c r="G146" s="195">
        <v>0</v>
      </c>
      <c r="H146" s="115"/>
      <c r="I146" s="116">
        <v>293.48</v>
      </c>
    </row>
    <row r="147" spans="1:9" ht="15.6" x14ac:dyDescent="0.3">
      <c r="A147" s="59">
        <v>46093</v>
      </c>
      <c r="B147" s="54" t="s">
        <v>612</v>
      </c>
      <c r="C147" s="80" t="s">
        <v>604</v>
      </c>
      <c r="D147" s="73" t="s">
        <v>593</v>
      </c>
      <c r="E147" s="199">
        <f t="shared" si="58"/>
        <v>40</v>
      </c>
      <c r="F147" s="194">
        <f t="shared" si="59"/>
        <v>6.3999999999999986</v>
      </c>
      <c r="G147" s="195">
        <v>0</v>
      </c>
      <c r="H147" s="115"/>
      <c r="I147" s="116">
        <v>46.4</v>
      </c>
    </row>
    <row r="148" spans="1:9" ht="15.6" x14ac:dyDescent="0.3">
      <c r="A148" s="59">
        <v>46097</v>
      </c>
      <c r="B148" s="55" t="s">
        <v>662</v>
      </c>
      <c r="C148" s="381"/>
      <c r="D148" s="73" t="s">
        <v>594</v>
      </c>
      <c r="E148" s="378">
        <f t="shared" si="58"/>
        <v>0</v>
      </c>
      <c r="F148" s="215">
        <f t="shared" si="59"/>
        <v>0</v>
      </c>
      <c r="G148" s="216">
        <v>0</v>
      </c>
      <c r="H148" s="379"/>
      <c r="I148" s="380">
        <f>-7609.6+7609.6</f>
        <v>0</v>
      </c>
    </row>
    <row r="149" spans="1:9" ht="15.6" x14ac:dyDescent="0.3">
      <c r="A149" s="59">
        <v>46098</v>
      </c>
      <c r="B149" s="274" t="s">
        <v>913</v>
      </c>
      <c r="C149" s="381" t="s">
        <v>91</v>
      </c>
      <c r="D149" s="73" t="s">
        <v>595</v>
      </c>
      <c r="E149" s="199">
        <f t="shared" si="58"/>
        <v>6560.0000000000009</v>
      </c>
      <c r="F149" s="194">
        <f t="shared" si="59"/>
        <v>1049.5999999999995</v>
      </c>
      <c r="G149" s="195">
        <v>0</v>
      </c>
      <c r="H149" s="115"/>
      <c r="I149" s="116">
        <v>7609.6</v>
      </c>
    </row>
    <row r="150" spans="1:9" ht="15.6" x14ac:dyDescent="0.3">
      <c r="A150" s="59">
        <v>46098</v>
      </c>
      <c r="B150" s="54" t="s">
        <v>613</v>
      </c>
      <c r="C150" s="80" t="s">
        <v>605</v>
      </c>
      <c r="D150" s="73" t="s">
        <v>596</v>
      </c>
      <c r="E150" s="199">
        <f t="shared" ref="E150:E151" si="60">+(H150+I150)/1.16</f>
        <v>1091</v>
      </c>
      <c r="F150" s="194">
        <f t="shared" ref="F150:F151" si="61">+I150-E150</f>
        <v>174.55999999999995</v>
      </c>
      <c r="G150" s="195">
        <v>0</v>
      </c>
      <c r="H150" s="115"/>
      <c r="I150" s="116">
        <v>1265.56</v>
      </c>
    </row>
    <row r="151" spans="1:9" ht="15.6" x14ac:dyDescent="0.3">
      <c r="A151" s="59">
        <v>46098</v>
      </c>
      <c r="B151" s="54" t="s">
        <v>614</v>
      </c>
      <c r="C151" s="80" t="s">
        <v>606</v>
      </c>
      <c r="D151" s="73" t="s">
        <v>597</v>
      </c>
      <c r="E151" s="199">
        <f t="shared" si="60"/>
        <v>410.80172413793105</v>
      </c>
      <c r="F151" s="194">
        <f t="shared" si="61"/>
        <v>65.728275862068926</v>
      </c>
      <c r="G151" s="195">
        <v>0</v>
      </c>
      <c r="H151" s="115"/>
      <c r="I151" s="116">
        <v>476.53</v>
      </c>
    </row>
    <row r="152" spans="1:9" ht="15.6" x14ac:dyDescent="0.3">
      <c r="A152" s="59">
        <v>46098</v>
      </c>
      <c r="B152" s="54" t="s">
        <v>615</v>
      </c>
      <c r="C152" s="80" t="s">
        <v>607</v>
      </c>
      <c r="D152" s="73" t="s">
        <v>616</v>
      </c>
      <c r="E152" s="199">
        <v>360</v>
      </c>
      <c r="F152" s="217">
        <v>0</v>
      </c>
      <c r="G152" s="216">
        <v>0</v>
      </c>
      <c r="H152" s="115"/>
      <c r="I152" s="116">
        <v>360</v>
      </c>
    </row>
    <row r="153" spans="1:9" ht="15.6" x14ac:dyDescent="0.3">
      <c r="A153" s="59">
        <v>46098</v>
      </c>
      <c r="B153" s="54" t="s">
        <v>617</v>
      </c>
      <c r="C153" s="80" t="s">
        <v>608</v>
      </c>
      <c r="D153" s="73" t="s">
        <v>598</v>
      </c>
      <c r="E153" s="199">
        <v>2065</v>
      </c>
      <c r="F153" s="217">
        <v>0</v>
      </c>
      <c r="G153" s="216">
        <v>0</v>
      </c>
      <c r="H153" s="115"/>
      <c r="I153" s="116">
        <v>2065</v>
      </c>
    </row>
    <row r="154" spans="1:9" ht="15.6" x14ac:dyDescent="0.3">
      <c r="A154" s="59">
        <v>46102</v>
      </c>
      <c r="B154" s="54" t="s">
        <v>635</v>
      </c>
      <c r="C154" s="80" t="s">
        <v>633</v>
      </c>
      <c r="D154" s="73" t="s">
        <v>620</v>
      </c>
      <c r="E154" s="199">
        <f t="shared" ref="E154" si="62">+(H154+I154)/1.16</f>
        <v>200</v>
      </c>
      <c r="F154" s="194">
        <f t="shared" ref="F154" si="63">+I154-E154</f>
        <v>32</v>
      </c>
      <c r="G154" s="195">
        <v>0</v>
      </c>
      <c r="H154" s="115"/>
      <c r="I154" s="116">
        <v>232</v>
      </c>
    </row>
    <row r="155" spans="1:9" ht="15.6" x14ac:dyDescent="0.3">
      <c r="A155" s="59">
        <v>46102</v>
      </c>
      <c r="B155" s="54" t="s">
        <v>636</v>
      </c>
      <c r="C155" s="80" t="s">
        <v>634</v>
      </c>
      <c r="D155" s="73" t="s">
        <v>621</v>
      </c>
      <c r="E155" s="199">
        <f t="shared" ref="E155" si="64">+(H155+I155)/1.16</f>
        <v>60</v>
      </c>
      <c r="F155" s="194">
        <f t="shared" ref="F155" si="65">+I155-E155</f>
        <v>9.5999999999999943</v>
      </c>
      <c r="G155" s="195">
        <v>0</v>
      </c>
      <c r="H155" s="115"/>
      <c r="I155" s="116">
        <v>69.599999999999994</v>
      </c>
    </row>
    <row r="156" spans="1:9" ht="15.6" x14ac:dyDescent="0.3">
      <c r="A156" s="59">
        <v>46102</v>
      </c>
      <c r="B156" s="54" t="s">
        <v>639</v>
      </c>
      <c r="C156" s="80" t="s">
        <v>637</v>
      </c>
      <c r="D156" s="73" t="s">
        <v>622</v>
      </c>
      <c r="E156" s="199">
        <f t="shared" ref="E156:E157" si="66">+(H156+I156)/1.16</f>
        <v>308</v>
      </c>
      <c r="F156" s="194">
        <f t="shared" ref="F156:F157" si="67">+I156-E156</f>
        <v>49.279999999999973</v>
      </c>
      <c r="G156" s="195">
        <v>0</v>
      </c>
      <c r="H156" s="115"/>
      <c r="I156" s="116">
        <v>357.28</v>
      </c>
    </row>
    <row r="157" spans="1:9" ht="15.6" x14ac:dyDescent="0.3">
      <c r="A157" s="59">
        <v>46102</v>
      </c>
      <c r="B157" s="54" t="s">
        <v>640</v>
      </c>
      <c r="C157" s="80" t="s">
        <v>638</v>
      </c>
      <c r="D157" s="73" t="s">
        <v>623</v>
      </c>
      <c r="E157" s="199">
        <f t="shared" si="66"/>
        <v>110</v>
      </c>
      <c r="F157" s="194">
        <f t="shared" si="67"/>
        <v>17.599999999999994</v>
      </c>
      <c r="G157" s="195">
        <v>0</v>
      </c>
      <c r="H157" s="115"/>
      <c r="I157" s="116">
        <v>127.6</v>
      </c>
    </row>
    <row r="158" spans="1:9" ht="15.6" x14ac:dyDescent="0.3">
      <c r="A158" s="59">
        <v>46102</v>
      </c>
      <c r="B158" s="54" t="s">
        <v>642</v>
      </c>
      <c r="C158" s="55" t="s">
        <v>641</v>
      </c>
      <c r="D158" s="73" t="s">
        <v>624</v>
      </c>
      <c r="E158" s="199">
        <f t="shared" ref="E158" si="68">+H158/1.16</f>
        <v>105</v>
      </c>
      <c r="F158" s="196"/>
      <c r="G158" s="195">
        <f t="shared" ref="G158" si="69">+H158-E158</f>
        <v>16.799999999999997</v>
      </c>
      <c r="H158" s="115">
        <v>121.8</v>
      </c>
      <c r="I158" s="116"/>
    </row>
    <row r="159" spans="1:9" ht="15.6" x14ac:dyDescent="0.3">
      <c r="A159" s="59">
        <v>46102</v>
      </c>
      <c r="B159" s="54" t="s">
        <v>643</v>
      </c>
      <c r="C159" s="55" t="s">
        <v>644</v>
      </c>
      <c r="D159" s="73" t="s">
        <v>625</v>
      </c>
      <c r="E159" s="199">
        <f t="shared" ref="E159:E164" si="70">+H159/1.16</f>
        <v>154.35344827586209</v>
      </c>
      <c r="F159" s="196"/>
      <c r="G159" s="195">
        <f t="shared" ref="G159:G164" si="71">+H159-E159</f>
        <v>24.696551724137919</v>
      </c>
      <c r="H159" s="115">
        <v>179.05</v>
      </c>
      <c r="I159" s="116"/>
    </row>
    <row r="160" spans="1:9" ht="15.6" x14ac:dyDescent="0.3">
      <c r="A160" s="59">
        <v>46102</v>
      </c>
      <c r="B160" s="54" t="s">
        <v>652</v>
      </c>
      <c r="C160" s="55" t="s">
        <v>645</v>
      </c>
      <c r="D160" s="73" t="s">
        <v>626</v>
      </c>
      <c r="E160" s="199">
        <f t="shared" si="70"/>
        <v>650</v>
      </c>
      <c r="F160" s="196"/>
      <c r="G160" s="195">
        <f t="shared" si="71"/>
        <v>104</v>
      </c>
      <c r="H160" s="115">
        <v>754</v>
      </c>
      <c r="I160" s="116"/>
    </row>
    <row r="161" spans="1:9" ht="15.6" x14ac:dyDescent="0.3">
      <c r="A161" s="59">
        <v>46102</v>
      </c>
      <c r="B161" s="54" t="s">
        <v>654</v>
      </c>
      <c r="C161" s="55" t="s">
        <v>647</v>
      </c>
      <c r="D161" s="73" t="s">
        <v>627</v>
      </c>
      <c r="E161" s="199">
        <f t="shared" si="70"/>
        <v>526.5</v>
      </c>
      <c r="F161" s="196"/>
      <c r="G161" s="195">
        <f t="shared" si="71"/>
        <v>84.240000000000009</v>
      </c>
      <c r="H161" s="115">
        <v>610.74</v>
      </c>
      <c r="I161" s="116"/>
    </row>
    <row r="162" spans="1:9" ht="15.6" x14ac:dyDescent="0.3">
      <c r="A162" s="59">
        <v>46102</v>
      </c>
      <c r="B162" s="54" t="s">
        <v>655</v>
      </c>
      <c r="C162" s="55" t="s">
        <v>648</v>
      </c>
      <c r="D162" s="73" t="s">
        <v>628</v>
      </c>
      <c r="E162" s="199">
        <f t="shared" si="70"/>
        <v>600</v>
      </c>
      <c r="F162" s="196"/>
      <c r="G162" s="195">
        <f t="shared" si="71"/>
        <v>96</v>
      </c>
      <c r="H162" s="115">
        <v>696</v>
      </c>
      <c r="I162" s="116"/>
    </row>
    <row r="163" spans="1:9" ht="15.6" x14ac:dyDescent="0.3">
      <c r="A163" s="59">
        <v>46102</v>
      </c>
      <c r="B163" s="54" t="s">
        <v>656</v>
      </c>
      <c r="C163" s="55" t="s">
        <v>649</v>
      </c>
      <c r="D163" s="73" t="s">
        <v>629</v>
      </c>
      <c r="E163" s="199">
        <f t="shared" si="70"/>
        <v>1393.8793103448277</v>
      </c>
      <c r="F163" s="196"/>
      <c r="G163" s="195">
        <f t="shared" si="71"/>
        <v>223.02068965517242</v>
      </c>
      <c r="H163" s="115">
        <v>1616.9</v>
      </c>
      <c r="I163" s="116"/>
    </row>
    <row r="164" spans="1:9" ht="15.6" x14ac:dyDescent="0.3">
      <c r="A164" s="59">
        <v>46102</v>
      </c>
      <c r="B164" s="54" t="s">
        <v>657</v>
      </c>
      <c r="C164" s="55" t="s">
        <v>650</v>
      </c>
      <c r="D164" s="73" t="s">
        <v>630</v>
      </c>
      <c r="E164" s="199">
        <f t="shared" si="70"/>
        <v>1200</v>
      </c>
      <c r="F164" s="196"/>
      <c r="G164" s="195">
        <f t="shared" si="71"/>
        <v>192</v>
      </c>
      <c r="H164" s="115">
        <v>1392</v>
      </c>
      <c r="I164" s="116"/>
    </row>
    <row r="165" spans="1:9" ht="15.6" x14ac:dyDescent="0.3">
      <c r="A165" s="59">
        <v>46102</v>
      </c>
      <c r="B165" s="54" t="s">
        <v>660</v>
      </c>
      <c r="C165" s="55" t="s">
        <v>651</v>
      </c>
      <c r="D165" s="73" t="s">
        <v>631</v>
      </c>
      <c r="E165" s="199">
        <f t="shared" ref="E165:E166" si="72">+H165/1.16</f>
        <v>135.98275862068968</v>
      </c>
      <c r="F165" s="196"/>
      <c r="G165" s="195">
        <f t="shared" ref="G165:G166" si="73">+H165-E165</f>
        <v>21.757241379310329</v>
      </c>
      <c r="H165" s="115">
        <v>157.74</v>
      </c>
      <c r="I165" s="116"/>
    </row>
    <row r="166" spans="1:9" ht="15.6" x14ac:dyDescent="0.3">
      <c r="A166" s="59">
        <v>46102</v>
      </c>
      <c r="B166" s="54" t="s">
        <v>661</v>
      </c>
      <c r="C166" s="55" t="s">
        <v>659</v>
      </c>
      <c r="D166" s="73" t="s">
        <v>632</v>
      </c>
      <c r="E166" s="199">
        <f t="shared" si="72"/>
        <v>136.5</v>
      </c>
      <c r="F166" s="196"/>
      <c r="G166" s="195">
        <f t="shared" si="73"/>
        <v>21.840000000000003</v>
      </c>
      <c r="H166" s="115">
        <v>158.34</v>
      </c>
      <c r="I166" s="116"/>
    </row>
    <row r="167" spans="1:9" ht="15.6" x14ac:dyDescent="0.3">
      <c r="A167" s="59">
        <v>46102</v>
      </c>
      <c r="B167" s="54" t="s">
        <v>653</v>
      </c>
      <c r="C167" s="55" t="s">
        <v>646</v>
      </c>
      <c r="D167" s="73" t="s">
        <v>658</v>
      </c>
      <c r="E167" s="199">
        <f t="shared" ref="E167" si="74">+H167/1.16</f>
        <v>189.00000000000003</v>
      </c>
      <c r="F167" s="196"/>
      <c r="G167" s="195">
        <f t="shared" ref="G167" si="75">+H167-E167</f>
        <v>30.239999999999981</v>
      </c>
      <c r="H167" s="115">
        <v>219.24</v>
      </c>
      <c r="I167" s="116"/>
    </row>
    <row r="168" spans="1:9" ht="15.6" x14ac:dyDescent="0.3">
      <c r="A168" s="59">
        <v>46106</v>
      </c>
      <c r="B168" s="54" t="s">
        <v>703</v>
      </c>
      <c r="C168" s="55" t="s">
        <v>704</v>
      </c>
      <c r="D168" s="73" t="s">
        <v>664</v>
      </c>
      <c r="E168" s="199">
        <v>500</v>
      </c>
      <c r="F168" s="217">
        <v>0</v>
      </c>
      <c r="G168" s="216">
        <v>0</v>
      </c>
      <c r="H168" s="115">
        <v>500</v>
      </c>
      <c r="I168" s="116"/>
    </row>
    <row r="169" spans="1:9" ht="15.6" x14ac:dyDescent="0.3">
      <c r="A169" s="59">
        <v>46106</v>
      </c>
      <c r="B169" s="54" t="s">
        <v>705</v>
      </c>
      <c r="C169" s="55" t="s">
        <v>706</v>
      </c>
      <c r="D169" s="73" t="s">
        <v>665</v>
      </c>
      <c r="E169" s="199">
        <f t="shared" ref="E169" si="76">+H169/1.16</f>
        <v>262.5</v>
      </c>
      <c r="F169" s="196"/>
      <c r="G169" s="195">
        <f t="shared" ref="G169" si="77">+H169-E169</f>
        <v>42</v>
      </c>
      <c r="H169" s="115">
        <v>304.5</v>
      </c>
      <c r="I169" s="116"/>
    </row>
    <row r="170" spans="1:9" ht="15.6" x14ac:dyDescent="0.3">
      <c r="A170" s="59">
        <v>46106</v>
      </c>
      <c r="B170" s="54" t="s">
        <v>685</v>
      </c>
      <c r="C170" s="80" t="s">
        <v>684</v>
      </c>
      <c r="D170" s="73" t="s">
        <v>666</v>
      </c>
      <c r="E170" s="199">
        <f t="shared" ref="E170" si="78">+(H170+I170)/1.16</f>
        <v>99808.75</v>
      </c>
      <c r="F170" s="194">
        <f t="shared" ref="F170" si="79">+I170-E170</f>
        <v>15969.399999999994</v>
      </c>
      <c r="G170" s="195">
        <v>0</v>
      </c>
      <c r="H170" s="115"/>
      <c r="I170" s="116">
        <v>115778.15</v>
      </c>
    </row>
    <row r="171" spans="1:9" ht="15.6" x14ac:dyDescent="0.3">
      <c r="A171" s="59">
        <v>46106</v>
      </c>
      <c r="B171" s="54" t="s">
        <v>687</v>
      </c>
      <c r="C171" s="80" t="s">
        <v>686</v>
      </c>
      <c r="D171" s="73" t="s">
        <v>667</v>
      </c>
      <c r="E171" s="199">
        <f t="shared" ref="E171" si="80">+(H171+I171)/1.16</f>
        <v>2100</v>
      </c>
      <c r="F171" s="194">
        <f t="shared" ref="F171" si="81">+I171-E171</f>
        <v>336</v>
      </c>
      <c r="G171" s="195">
        <v>0</v>
      </c>
      <c r="H171" s="115"/>
      <c r="I171" s="116">
        <v>2436</v>
      </c>
    </row>
    <row r="172" spans="1:9" ht="15.6" x14ac:dyDescent="0.3">
      <c r="A172" s="59">
        <v>46106</v>
      </c>
      <c r="B172" s="54" t="s">
        <v>689</v>
      </c>
      <c r="C172" s="80" t="s">
        <v>688</v>
      </c>
      <c r="D172" s="73" t="s">
        <v>668</v>
      </c>
      <c r="E172" s="199">
        <f t="shared" ref="E172" si="82">+(H172+I172)/1.16</f>
        <v>949</v>
      </c>
      <c r="F172" s="194">
        <f t="shared" ref="F172" si="83">+I172-E172</f>
        <v>151.83999999999992</v>
      </c>
      <c r="G172" s="195">
        <v>0</v>
      </c>
      <c r="H172" s="115"/>
      <c r="I172" s="116">
        <v>1100.8399999999999</v>
      </c>
    </row>
    <row r="173" spans="1:9" ht="15.6" x14ac:dyDescent="0.3">
      <c r="A173" s="59">
        <v>46106</v>
      </c>
      <c r="B173" s="54" t="s">
        <v>691</v>
      </c>
      <c r="C173" s="80" t="s">
        <v>690</v>
      </c>
      <c r="D173" s="73" t="s">
        <v>669</v>
      </c>
      <c r="E173" s="199">
        <f t="shared" ref="E173" si="84">+(H173+I173)/1.16</f>
        <v>448</v>
      </c>
      <c r="F173" s="194">
        <f t="shared" ref="F173" si="85">+I173-E173</f>
        <v>71.67999999999995</v>
      </c>
      <c r="G173" s="195">
        <v>0</v>
      </c>
      <c r="H173" s="115"/>
      <c r="I173" s="116">
        <v>519.67999999999995</v>
      </c>
    </row>
    <row r="174" spans="1:9" ht="15.6" x14ac:dyDescent="0.3">
      <c r="A174" s="59">
        <v>46106</v>
      </c>
      <c r="B174" s="54" t="s">
        <v>693</v>
      </c>
      <c r="C174" s="80" t="s">
        <v>692</v>
      </c>
      <c r="D174" s="73" t="s">
        <v>670</v>
      </c>
      <c r="E174" s="199">
        <f t="shared" ref="E174:E177" si="86">+(H174+I174)/1.16</f>
        <v>11315</v>
      </c>
      <c r="F174" s="194">
        <f t="shared" ref="F174:F181" si="87">+I174-E174</f>
        <v>1810.3999999999996</v>
      </c>
      <c r="G174" s="195">
        <v>0</v>
      </c>
      <c r="H174" s="115"/>
      <c r="I174" s="116">
        <v>13125.4</v>
      </c>
    </row>
    <row r="175" spans="1:9" ht="15.6" x14ac:dyDescent="0.3">
      <c r="A175" s="59">
        <v>46106</v>
      </c>
      <c r="B175" s="54" t="s">
        <v>695</v>
      </c>
      <c r="C175" s="80" t="s">
        <v>694</v>
      </c>
      <c r="D175" s="73" t="s">
        <v>671</v>
      </c>
      <c r="E175" s="199">
        <f t="shared" si="86"/>
        <v>13368.103448275862</v>
      </c>
      <c r="F175" s="194">
        <f t="shared" si="87"/>
        <v>2138.8965517241377</v>
      </c>
      <c r="G175" s="195"/>
      <c r="H175" s="115"/>
      <c r="I175" s="116">
        <v>15507</v>
      </c>
    </row>
    <row r="176" spans="1:9" ht="15.6" x14ac:dyDescent="0.3">
      <c r="A176" s="59">
        <v>46109</v>
      </c>
      <c r="B176" s="55" t="s">
        <v>943</v>
      </c>
      <c r="C176" s="80" t="s">
        <v>696</v>
      </c>
      <c r="D176" s="73" t="s">
        <v>672</v>
      </c>
      <c r="E176" s="378">
        <f t="shared" si="86"/>
        <v>0</v>
      </c>
      <c r="F176" s="215">
        <f t="shared" si="87"/>
        <v>0</v>
      </c>
      <c r="G176" s="216"/>
      <c r="H176" s="379"/>
      <c r="I176" s="380">
        <f>7859-7859</f>
        <v>0</v>
      </c>
    </row>
    <row r="177" spans="1:9" ht="15.6" x14ac:dyDescent="0.3">
      <c r="A177" s="59">
        <v>46109</v>
      </c>
      <c r="B177" s="55" t="s">
        <v>930</v>
      </c>
      <c r="C177" s="80" t="s">
        <v>697</v>
      </c>
      <c r="D177" s="73" t="s">
        <v>673</v>
      </c>
      <c r="E177" s="409">
        <f t="shared" si="86"/>
        <v>0</v>
      </c>
      <c r="F177" s="410">
        <f t="shared" si="87"/>
        <v>0</v>
      </c>
      <c r="G177" s="411"/>
      <c r="H177" s="379"/>
      <c r="I177" s="380">
        <f>6658.4-6658.4</f>
        <v>0</v>
      </c>
    </row>
    <row r="178" spans="1:9" ht="15.6" x14ac:dyDescent="0.3">
      <c r="A178" s="59">
        <v>46109</v>
      </c>
      <c r="B178" s="272" t="s">
        <v>698</v>
      </c>
      <c r="C178" s="382"/>
      <c r="D178" s="73" t="s">
        <v>674</v>
      </c>
      <c r="E178" s="199">
        <v>5740</v>
      </c>
      <c r="F178" s="217">
        <v>0</v>
      </c>
      <c r="G178" s="216">
        <v>0</v>
      </c>
      <c r="H178" s="115"/>
      <c r="I178" s="116">
        <v>5740</v>
      </c>
    </row>
    <row r="179" spans="1:9" ht="15.6" x14ac:dyDescent="0.3">
      <c r="A179" s="59">
        <v>46109</v>
      </c>
      <c r="B179" s="55" t="s">
        <v>911</v>
      </c>
      <c r="C179" s="382"/>
      <c r="D179" s="73" t="s">
        <v>675</v>
      </c>
      <c r="E179" s="409">
        <f t="shared" ref="E179:E181" si="88">+(H179+I179)/1.16</f>
        <v>0</v>
      </c>
      <c r="F179" s="410">
        <f t="shared" ref="F179" si="89">+I179-E179</f>
        <v>0</v>
      </c>
      <c r="G179" s="216"/>
      <c r="H179" s="379"/>
      <c r="I179" s="380">
        <f>-6658.4+6658.4</f>
        <v>0</v>
      </c>
    </row>
    <row r="180" spans="1:9" ht="15.6" x14ac:dyDescent="0.3">
      <c r="A180" s="59">
        <v>46109</v>
      </c>
      <c r="B180" s="54" t="s">
        <v>699</v>
      </c>
      <c r="C180" s="80" t="s">
        <v>700</v>
      </c>
      <c r="D180" s="73" t="s">
        <v>676</v>
      </c>
      <c r="E180" s="199">
        <f t="shared" si="88"/>
        <v>16364.293103448279</v>
      </c>
      <c r="F180" s="194">
        <f t="shared" si="87"/>
        <v>2618.2868965517227</v>
      </c>
      <c r="G180" s="195"/>
      <c r="H180" s="115"/>
      <c r="I180" s="116">
        <v>18982.580000000002</v>
      </c>
    </row>
    <row r="181" spans="1:9" ht="15.6" x14ac:dyDescent="0.3">
      <c r="A181" s="59">
        <v>46109</v>
      </c>
      <c r="B181" s="54" t="s">
        <v>702</v>
      </c>
      <c r="C181" s="80" t="s">
        <v>701</v>
      </c>
      <c r="D181" s="73" t="s">
        <v>677</v>
      </c>
      <c r="E181" s="199">
        <f t="shared" si="88"/>
        <v>50</v>
      </c>
      <c r="F181" s="194">
        <f t="shared" si="87"/>
        <v>8</v>
      </c>
      <c r="G181" s="195"/>
      <c r="H181" s="115"/>
      <c r="I181" s="116">
        <v>58</v>
      </c>
    </row>
    <row r="182" spans="1:9" ht="15.6" x14ac:dyDescent="0.3">
      <c r="A182" s="59">
        <v>46109</v>
      </c>
      <c r="B182" s="54" t="s">
        <v>707</v>
      </c>
      <c r="C182" s="55" t="s">
        <v>708</v>
      </c>
      <c r="D182" s="73" t="s">
        <v>678</v>
      </c>
      <c r="E182" s="199">
        <f t="shared" ref="E182" si="90">+H182/1.16</f>
        <v>236.25000000000003</v>
      </c>
      <c r="F182" s="196"/>
      <c r="G182" s="195">
        <f t="shared" ref="G182" si="91">+H182-E182</f>
        <v>37.799999999999983</v>
      </c>
      <c r="H182" s="115">
        <v>274.05</v>
      </c>
      <c r="I182" s="116"/>
    </row>
    <row r="183" spans="1:9" ht="15.6" x14ac:dyDescent="0.3">
      <c r="A183" s="59">
        <v>46109</v>
      </c>
      <c r="B183" s="54" t="s">
        <v>714</v>
      </c>
      <c r="C183" s="55" t="s">
        <v>709</v>
      </c>
      <c r="D183" s="73" t="s">
        <v>679</v>
      </c>
      <c r="E183" s="199">
        <v>250</v>
      </c>
      <c r="F183" s="217">
        <v>0</v>
      </c>
      <c r="G183" s="216">
        <v>0</v>
      </c>
      <c r="H183" s="115">
        <v>250</v>
      </c>
      <c r="I183" s="116"/>
    </row>
    <row r="184" spans="1:9" ht="15.6" x14ac:dyDescent="0.3">
      <c r="A184" s="59">
        <v>46109</v>
      </c>
      <c r="B184" s="54" t="s">
        <v>715</v>
      </c>
      <c r="C184" s="55" t="s">
        <v>710</v>
      </c>
      <c r="D184" s="73" t="s">
        <v>680</v>
      </c>
      <c r="E184" s="199">
        <v>400</v>
      </c>
      <c r="F184" s="217">
        <v>0</v>
      </c>
      <c r="G184" s="216">
        <v>0</v>
      </c>
      <c r="H184" s="115">
        <v>400</v>
      </c>
      <c r="I184" s="116"/>
    </row>
    <row r="185" spans="1:9" ht="15.6" x14ac:dyDescent="0.3">
      <c r="A185" s="59">
        <v>46109</v>
      </c>
      <c r="B185" s="54" t="s">
        <v>716</v>
      </c>
      <c r="C185" s="55" t="s">
        <v>711</v>
      </c>
      <c r="D185" s="73" t="s">
        <v>681</v>
      </c>
      <c r="E185" s="199">
        <f t="shared" ref="E185" si="92">+H185/1.16</f>
        <v>350</v>
      </c>
      <c r="F185" s="196"/>
      <c r="G185" s="195">
        <f t="shared" ref="G185" si="93">+H185-E185</f>
        <v>56</v>
      </c>
      <c r="H185" s="115">
        <v>406</v>
      </c>
      <c r="I185" s="116"/>
    </row>
    <row r="186" spans="1:9" ht="15.6" x14ac:dyDescent="0.3">
      <c r="A186" s="59">
        <v>46109</v>
      </c>
      <c r="B186" s="54" t="s">
        <v>717</v>
      </c>
      <c r="C186" s="55" t="s">
        <v>712</v>
      </c>
      <c r="D186" s="73" t="s">
        <v>682</v>
      </c>
      <c r="E186" s="199">
        <f t="shared" ref="E186" si="94">+H186/1.16</f>
        <v>150</v>
      </c>
      <c r="F186" s="196"/>
      <c r="G186" s="195">
        <f t="shared" ref="G186" si="95">+H186-E186</f>
        <v>24</v>
      </c>
      <c r="H186" s="115">
        <v>174</v>
      </c>
      <c r="I186" s="116"/>
    </row>
    <row r="187" spans="1:9" ht="15.6" x14ac:dyDescent="0.3">
      <c r="A187" s="59">
        <v>46109</v>
      </c>
      <c r="B187" s="54" t="s">
        <v>718</v>
      </c>
      <c r="C187" s="55" t="s">
        <v>713</v>
      </c>
      <c r="D187" s="73" t="s">
        <v>683</v>
      </c>
      <c r="E187" s="199">
        <f t="shared" ref="E187" si="96">+H187/1.16</f>
        <v>75</v>
      </c>
      <c r="F187" s="196"/>
      <c r="G187" s="195">
        <f t="shared" ref="G187" si="97">+H187-E187</f>
        <v>12</v>
      </c>
      <c r="H187" s="115">
        <v>87</v>
      </c>
      <c r="I187" s="116"/>
    </row>
    <row r="188" spans="1:9" ht="15.6" x14ac:dyDescent="0.3">
      <c r="A188" s="564"/>
      <c r="B188" s="427"/>
      <c r="C188" s="565"/>
      <c r="D188" s="450"/>
      <c r="E188" s="428"/>
      <c r="F188" s="566"/>
      <c r="G188" s="424"/>
      <c r="H188" s="425"/>
      <c r="I188" s="430"/>
    </row>
    <row r="189" spans="1:9" ht="15.6" x14ac:dyDescent="0.3">
      <c r="A189" s="564"/>
      <c r="B189" s="427"/>
      <c r="C189" s="565"/>
      <c r="D189" s="450"/>
      <c r="E189" s="428"/>
      <c r="F189" s="566"/>
      <c r="G189" s="424"/>
      <c r="H189" s="425"/>
      <c r="I189" s="430"/>
    </row>
    <row r="190" spans="1:9" ht="16.2" thickBot="1" x14ac:dyDescent="0.35">
      <c r="A190" s="426"/>
      <c r="B190" s="427"/>
      <c r="C190" s="427"/>
      <c r="D190" s="373"/>
      <c r="E190" s="428"/>
      <c r="F190" s="429"/>
      <c r="G190" s="424"/>
      <c r="H190" s="425"/>
      <c r="I190" s="430"/>
    </row>
    <row r="191" spans="1:9" ht="18.600000000000001" thickBot="1" x14ac:dyDescent="0.4">
      <c r="A191" s="436"/>
      <c r="B191" s="437"/>
      <c r="C191" s="438"/>
      <c r="D191" s="439"/>
      <c r="E191" s="278">
        <f>SUM(E116:E190)</f>
        <v>218770.44827586209</v>
      </c>
      <c r="F191" s="441">
        <f t="shared" ref="F191:G191" si="98">SUM(F116:F190)</f>
        <v>27984.15034482758</v>
      </c>
      <c r="G191" s="441">
        <f t="shared" si="98"/>
        <v>1670.7213793103444</v>
      </c>
      <c r="H191" s="422">
        <f t="shared" ref="H191:I191" si="99">SUM(H116:H190)</f>
        <v>15370.23</v>
      </c>
      <c r="I191" s="423">
        <f t="shared" si="99"/>
        <v>233055.08999999997</v>
      </c>
    </row>
    <row r="192" spans="1:9" ht="15.6" x14ac:dyDescent="0.3">
      <c r="A192" s="431"/>
      <c r="B192" s="432"/>
      <c r="C192" s="432"/>
      <c r="D192" s="368"/>
      <c r="E192" s="433">
        <f t="shared" ref="E192:E193" si="100">+H192/1.16</f>
        <v>0</v>
      </c>
      <c r="F192" s="434"/>
      <c r="G192" s="271">
        <f t="shared" ref="G192:G193" si="101">+H192-E192</f>
        <v>0</v>
      </c>
      <c r="H192" s="213"/>
      <c r="I192" s="435"/>
    </row>
    <row r="193" spans="1:9" ht="15.6" x14ac:dyDescent="0.3">
      <c r="A193" s="59">
        <v>46122</v>
      </c>
      <c r="B193" s="54" t="s">
        <v>735</v>
      </c>
      <c r="C193" s="55" t="s">
        <v>736</v>
      </c>
      <c r="D193" s="73" t="s">
        <v>734</v>
      </c>
      <c r="E193" s="199">
        <f t="shared" si="100"/>
        <v>210</v>
      </c>
      <c r="F193" s="196"/>
      <c r="G193" s="195">
        <f t="shared" si="101"/>
        <v>33.599999999999994</v>
      </c>
      <c r="H193" s="115">
        <v>243.6</v>
      </c>
      <c r="I193" s="116"/>
    </row>
    <row r="194" spans="1:9" ht="15.6" x14ac:dyDescent="0.3">
      <c r="A194" s="59">
        <v>46122</v>
      </c>
      <c r="B194" s="54" t="s">
        <v>737</v>
      </c>
      <c r="C194" s="55" t="s">
        <v>738</v>
      </c>
      <c r="D194" s="73" t="s">
        <v>739</v>
      </c>
      <c r="E194" s="199">
        <f t="shared" ref="E194" si="102">+H194/1.16</f>
        <v>420</v>
      </c>
      <c r="F194" s="196"/>
      <c r="G194" s="195">
        <f t="shared" ref="G194" si="103">+H194-E194</f>
        <v>67.199999999999989</v>
      </c>
      <c r="H194" s="115">
        <v>487.2</v>
      </c>
      <c r="I194" s="116"/>
    </row>
    <row r="195" spans="1:9" ht="15.6" x14ac:dyDescent="0.3">
      <c r="A195" s="59">
        <v>46122</v>
      </c>
      <c r="B195" s="54" t="s">
        <v>744</v>
      </c>
      <c r="C195" s="55" t="s">
        <v>745</v>
      </c>
      <c r="D195" s="73" t="s">
        <v>740</v>
      </c>
      <c r="E195" s="199">
        <v>157.5</v>
      </c>
      <c r="F195" s="217">
        <v>0</v>
      </c>
      <c r="G195" s="216">
        <v>0</v>
      </c>
      <c r="H195" s="115">
        <v>157.5</v>
      </c>
      <c r="I195" s="116"/>
    </row>
    <row r="196" spans="1:9" ht="15.6" x14ac:dyDescent="0.3">
      <c r="A196" s="59">
        <v>46122</v>
      </c>
      <c r="B196" s="54" t="s">
        <v>742</v>
      </c>
      <c r="C196" s="55" t="s">
        <v>743</v>
      </c>
      <c r="D196" s="73" t="s">
        <v>741</v>
      </c>
      <c r="E196" s="199">
        <f t="shared" ref="E196" si="104">+H196/1.16</f>
        <v>252</v>
      </c>
      <c r="F196" s="196"/>
      <c r="G196" s="195">
        <f t="shared" ref="G196" si="105">+H196-E196</f>
        <v>40.319999999999993</v>
      </c>
      <c r="H196" s="115">
        <v>292.32</v>
      </c>
      <c r="I196" s="116"/>
    </row>
    <row r="197" spans="1:9" ht="15.6" x14ac:dyDescent="0.3">
      <c r="A197" s="59">
        <v>46122</v>
      </c>
      <c r="B197" s="54" t="s">
        <v>746</v>
      </c>
      <c r="C197" s="55" t="s">
        <v>747</v>
      </c>
      <c r="D197" s="73" t="s">
        <v>748</v>
      </c>
      <c r="E197" s="199">
        <v>750</v>
      </c>
      <c r="F197" s="217">
        <v>0</v>
      </c>
      <c r="G197" s="216">
        <v>0</v>
      </c>
      <c r="H197" s="115">
        <v>750</v>
      </c>
      <c r="I197" s="116"/>
    </row>
    <row r="198" spans="1:9" ht="15.6" x14ac:dyDescent="0.3">
      <c r="A198" s="59">
        <v>46122</v>
      </c>
      <c r="B198" s="54" t="s">
        <v>751</v>
      </c>
      <c r="C198" s="55" t="s">
        <v>749</v>
      </c>
      <c r="D198" s="73" t="s">
        <v>750</v>
      </c>
      <c r="E198" s="199">
        <f t="shared" ref="E198" si="106">+H198/1.16</f>
        <v>275</v>
      </c>
      <c r="F198" s="196"/>
      <c r="G198" s="195">
        <f t="shared" ref="G198" si="107">+H198-E198</f>
        <v>44</v>
      </c>
      <c r="H198" s="115">
        <v>319</v>
      </c>
      <c r="I198" s="116"/>
    </row>
    <row r="199" spans="1:9" ht="15.6" x14ac:dyDescent="0.3">
      <c r="A199" s="59">
        <v>46122</v>
      </c>
      <c r="B199" s="54" t="s">
        <v>752</v>
      </c>
      <c r="C199" s="55" t="s">
        <v>754</v>
      </c>
      <c r="D199" s="73" t="s">
        <v>753</v>
      </c>
      <c r="E199" s="199">
        <f t="shared" ref="E199" si="108">+H199/1.16</f>
        <v>192.14655172413794</v>
      </c>
      <c r="F199" s="196"/>
      <c r="G199" s="195">
        <f t="shared" ref="G199" si="109">+H199-E199</f>
        <v>30.74344827586205</v>
      </c>
      <c r="H199" s="115">
        <v>222.89</v>
      </c>
      <c r="I199" s="116"/>
    </row>
    <row r="200" spans="1:9" ht="15.6" x14ac:dyDescent="0.3">
      <c r="A200" s="59">
        <v>46122</v>
      </c>
      <c r="B200" s="54" t="s">
        <v>755</v>
      </c>
      <c r="C200" s="55" t="s">
        <v>756</v>
      </c>
      <c r="D200" s="73" t="s">
        <v>757</v>
      </c>
      <c r="E200" s="199">
        <f t="shared" ref="E200:E202" si="110">+H200/1.16</f>
        <v>192.14655172413794</v>
      </c>
      <c r="F200" s="196"/>
      <c r="G200" s="195">
        <f t="shared" ref="G200:G202" si="111">+H200-E200</f>
        <v>30.74344827586205</v>
      </c>
      <c r="H200" s="115">
        <v>222.89</v>
      </c>
      <c r="I200" s="116"/>
    </row>
    <row r="201" spans="1:9" ht="15.6" x14ac:dyDescent="0.3">
      <c r="A201" s="59">
        <v>46122</v>
      </c>
      <c r="B201" s="54" t="s">
        <v>761</v>
      </c>
      <c r="C201" s="55" t="s">
        <v>759</v>
      </c>
      <c r="D201" s="73" t="s">
        <v>758</v>
      </c>
      <c r="E201" s="199">
        <f t="shared" si="110"/>
        <v>181.43965517241381</v>
      </c>
      <c r="F201" s="194"/>
      <c r="G201" s="195">
        <f t="shared" si="111"/>
        <v>29.030344827586191</v>
      </c>
      <c r="H201" s="115">
        <v>210.47</v>
      </c>
      <c r="I201" s="116"/>
    </row>
    <row r="202" spans="1:9" ht="15.6" x14ac:dyDescent="0.3">
      <c r="A202" s="59">
        <v>46122</v>
      </c>
      <c r="B202" s="54" t="s">
        <v>760</v>
      </c>
      <c r="C202" s="55" t="s">
        <v>762</v>
      </c>
      <c r="D202" s="73" t="s">
        <v>763</v>
      </c>
      <c r="E202" s="199">
        <f t="shared" si="110"/>
        <v>174.56034482758622</v>
      </c>
      <c r="F202" s="194"/>
      <c r="G202" s="195">
        <f t="shared" si="111"/>
        <v>27.929655172413788</v>
      </c>
      <c r="H202" s="115">
        <v>202.49</v>
      </c>
      <c r="I202" s="116"/>
    </row>
    <row r="203" spans="1:9" ht="15.6" x14ac:dyDescent="0.3">
      <c r="A203" s="59">
        <v>46122</v>
      </c>
      <c r="B203" s="54" t="s">
        <v>766</v>
      </c>
      <c r="C203" s="55" t="s">
        <v>765</v>
      </c>
      <c r="D203" s="73" t="s">
        <v>764</v>
      </c>
      <c r="E203" s="199">
        <v>700</v>
      </c>
      <c r="F203" s="217">
        <v>0</v>
      </c>
      <c r="G203" s="216">
        <v>0</v>
      </c>
      <c r="H203" s="115">
        <v>700</v>
      </c>
      <c r="I203" s="116"/>
    </row>
    <row r="204" spans="1:9" ht="15.6" x14ac:dyDescent="0.3">
      <c r="A204" s="59">
        <v>46122</v>
      </c>
      <c r="B204" s="54" t="s">
        <v>767</v>
      </c>
      <c r="C204" s="55" t="s">
        <v>768</v>
      </c>
      <c r="D204" s="73" t="s">
        <v>769</v>
      </c>
      <c r="E204" s="199">
        <f t="shared" ref="E204:E209" si="112">+H204/1.16</f>
        <v>126</v>
      </c>
      <c r="F204" s="194"/>
      <c r="G204" s="195">
        <f t="shared" ref="G204:G209" si="113">+H204-E204</f>
        <v>20.159999999999997</v>
      </c>
      <c r="H204" s="115">
        <v>146.16</v>
      </c>
      <c r="I204" s="116"/>
    </row>
    <row r="205" spans="1:9" ht="15.6" x14ac:dyDescent="0.3">
      <c r="A205" s="59">
        <v>46122</v>
      </c>
      <c r="B205" s="54" t="s">
        <v>772</v>
      </c>
      <c r="C205" s="55" t="s">
        <v>770</v>
      </c>
      <c r="D205" s="73" t="s">
        <v>771</v>
      </c>
      <c r="E205" s="199">
        <f t="shared" si="112"/>
        <v>500.00000000000006</v>
      </c>
      <c r="F205" s="194"/>
      <c r="G205" s="195">
        <f t="shared" si="113"/>
        <v>79.999999999999943</v>
      </c>
      <c r="H205" s="115">
        <v>580</v>
      </c>
      <c r="I205" s="116"/>
    </row>
    <row r="206" spans="1:9" ht="15.6" x14ac:dyDescent="0.3">
      <c r="A206" s="59">
        <v>46122</v>
      </c>
      <c r="B206" s="54" t="s">
        <v>773</v>
      </c>
      <c r="C206" s="55" t="s">
        <v>774</v>
      </c>
      <c r="D206" s="73" t="s">
        <v>775</v>
      </c>
      <c r="E206" s="199">
        <f t="shared" si="112"/>
        <v>250.00000000000003</v>
      </c>
      <c r="F206" s="194"/>
      <c r="G206" s="195">
        <f t="shared" si="113"/>
        <v>39.999999999999972</v>
      </c>
      <c r="H206" s="115">
        <v>290</v>
      </c>
      <c r="I206" s="116"/>
    </row>
    <row r="207" spans="1:9" ht="15.6" x14ac:dyDescent="0.3">
      <c r="A207" s="59">
        <v>46122</v>
      </c>
      <c r="B207" s="54" t="s">
        <v>778</v>
      </c>
      <c r="C207" s="55" t="s">
        <v>776</v>
      </c>
      <c r="D207" s="73" t="s">
        <v>777</v>
      </c>
      <c r="E207" s="199">
        <f t="shared" si="112"/>
        <v>250.00000000000003</v>
      </c>
      <c r="F207" s="194"/>
      <c r="G207" s="195">
        <f t="shared" si="113"/>
        <v>39.999999999999972</v>
      </c>
      <c r="H207" s="115">
        <v>290</v>
      </c>
      <c r="I207" s="116"/>
    </row>
    <row r="208" spans="1:9" ht="15.6" x14ac:dyDescent="0.3">
      <c r="A208" s="59">
        <v>46122</v>
      </c>
      <c r="B208" s="54" t="s">
        <v>779</v>
      </c>
      <c r="C208" s="55" t="s">
        <v>780</v>
      </c>
      <c r="D208" s="73" t="s">
        <v>781</v>
      </c>
      <c r="E208" s="199">
        <f t="shared" si="112"/>
        <v>600</v>
      </c>
      <c r="F208" s="194"/>
      <c r="G208" s="195">
        <f t="shared" si="113"/>
        <v>96</v>
      </c>
      <c r="H208" s="115">
        <v>696</v>
      </c>
      <c r="I208" s="116"/>
    </row>
    <row r="209" spans="1:9" ht="15.6" x14ac:dyDescent="0.3">
      <c r="A209" s="59">
        <v>46128</v>
      </c>
      <c r="B209" s="54" t="s">
        <v>823</v>
      </c>
      <c r="C209" s="55" t="s">
        <v>822</v>
      </c>
      <c r="D209" s="73" t="s">
        <v>821</v>
      </c>
      <c r="E209" s="199">
        <f t="shared" si="112"/>
        <v>183</v>
      </c>
      <c r="F209" s="194"/>
      <c r="G209" s="195">
        <f t="shared" si="113"/>
        <v>29.28</v>
      </c>
      <c r="H209" s="115">
        <v>212.28</v>
      </c>
      <c r="I209" s="116"/>
    </row>
    <row r="210" spans="1:9" ht="15.6" x14ac:dyDescent="0.3">
      <c r="A210" s="59">
        <v>46128</v>
      </c>
      <c r="B210" s="54" t="s">
        <v>861</v>
      </c>
      <c r="C210" s="80" t="s">
        <v>862</v>
      </c>
      <c r="D210" s="73" t="s">
        <v>835</v>
      </c>
      <c r="E210" s="199">
        <f t="shared" ref="E210" si="114">+(H210+I210)/1.16</f>
        <v>50</v>
      </c>
      <c r="F210" s="194">
        <f t="shared" ref="F210" si="115">+I210-E210</f>
        <v>8</v>
      </c>
      <c r="G210" s="195"/>
      <c r="H210" s="115"/>
      <c r="I210" s="116">
        <v>58</v>
      </c>
    </row>
    <row r="211" spans="1:9" ht="15.6" x14ac:dyDescent="0.3">
      <c r="A211" s="59">
        <v>46128</v>
      </c>
      <c r="B211" s="54" t="s">
        <v>864</v>
      </c>
      <c r="C211" s="80" t="s">
        <v>863</v>
      </c>
      <c r="D211" s="73" t="s">
        <v>836</v>
      </c>
      <c r="E211" s="199">
        <f t="shared" ref="E211:E212" si="116">+(H211+I211)/1.16</f>
        <v>30</v>
      </c>
      <c r="F211" s="194">
        <f t="shared" ref="F211:F212" si="117">+I211-E211</f>
        <v>4.7999999999999972</v>
      </c>
      <c r="G211" s="195"/>
      <c r="H211" s="115"/>
      <c r="I211" s="116">
        <v>34.799999999999997</v>
      </c>
    </row>
    <row r="212" spans="1:9" ht="15.6" x14ac:dyDescent="0.3">
      <c r="A212" s="59">
        <v>46128</v>
      </c>
      <c r="B212" s="54" t="s">
        <v>865</v>
      </c>
      <c r="C212" s="80" t="s">
        <v>866</v>
      </c>
      <c r="D212" s="73" t="s">
        <v>837</v>
      </c>
      <c r="E212" s="199">
        <f t="shared" si="116"/>
        <v>5000</v>
      </c>
      <c r="F212" s="194">
        <f t="shared" si="117"/>
        <v>800</v>
      </c>
      <c r="G212" s="195"/>
      <c r="H212" s="115"/>
      <c r="I212" s="116">
        <v>5800</v>
      </c>
    </row>
    <row r="213" spans="1:9" ht="15.6" x14ac:dyDescent="0.3">
      <c r="A213" s="59">
        <v>46128</v>
      </c>
      <c r="B213" s="55" t="s">
        <v>912</v>
      </c>
      <c r="C213" s="382"/>
      <c r="D213" s="73" t="s">
        <v>838</v>
      </c>
      <c r="E213" s="409">
        <f t="shared" ref="E213" si="118">+(H213+I213)/1.16</f>
        <v>0</v>
      </c>
      <c r="F213" s="410">
        <f t="shared" ref="F213" si="119">+I213-E213</f>
        <v>0</v>
      </c>
      <c r="G213" s="411"/>
      <c r="H213" s="379"/>
      <c r="I213" s="380">
        <f>-7859+7859</f>
        <v>0</v>
      </c>
    </row>
    <row r="214" spans="1:9" ht="15.6" x14ac:dyDescent="0.3">
      <c r="A214" s="59">
        <v>46129</v>
      </c>
      <c r="B214" s="272" t="s">
        <v>903</v>
      </c>
      <c r="C214" s="80" t="s">
        <v>942</v>
      </c>
      <c r="D214" s="73" t="s">
        <v>839</v>
      </c>
      <c r="E214" s="142">
        <f t="shared" ref="E214" si="120">+(H214+I214)/1.16</f>
        <v>5635.0000000000009</v>
      </c>
      <c r="F214" s="141">
        <f t="shared" ref="F214" si="121">+I214-E214</f>
        <v>901.59999999999945</v>
      </c>
      <c r="G214" s="195"/>
      <c r="H214" s="115"/>
      <c r="I214" s="116">
        <v>6536.6</v>
      </c>
    </row>
    <row r="215" spans="1:9" ht="15.6" x14ac:dyDescent="0.3">
      <c r="A215" s="59">
        <v>46133</v>
      </c>
      <c r="B215" s="272" t="s">
        <v>867</v>
      </c>
      <c r="C215" s="80" t="s">
        <v>868</v>
      </c>
      <c r="D215" s="73" t="s">
        <v>840</v>
      </c>
      <c r="E215" s="199">
        <f t="shared" ref="E215" si="122">+(H215+I215)/1.16</f>
        <v>13930</v>
      </c>
      <c r="F215" s="194">
        <f t="shared" ref="F215" si="123">+I215-E215</f>
        <v>2228.7999999999993</v>
      </c>
      <c r="G215" s="195"/>
      <c r="H215" s="115"/>
      <c r="I215" s="116">
        <v>16158.8</v>
      </c>
    </row>
    <row r="216" spans="1:9" ht="15.6" x14ac:dyDescent="0.3">
      <c r="A216" s="59">
        <v>46133</v>
      </c>
      <c r="B216" s="272" t="s">
        <v>870</v>
      </c>
      <c r="C216" s="80" t="s">
        <v>869</v>
      </c>
      <c r="D216" s="73" t="s">
        <v>841</v>
      </c>
      <c r="E216" s="199">
        <f t="shared" ref="E216" si="124">+(H216+I216)/1.16</f>
        <v>1877.2413793103449</v>
      </c>
      <c r="F216" s="194">
        <f t="shared" ref="F216" si="125">+I216-E216</f>
        <v>300.35862068965503</v>
      </c>
      <c r="G216" s="195"/>
      <c r="H216" s="115"/>
      <c r="I216" s="116">
        <v>2177.6</v>
      </c>
    </row>
    <row r="217" spans="1:9" ht="15.6" x14ac:dyDescent="0.3">
      <c r="A217" s="59">
        <v>46133</v>
      </c>
      <c r="B217" s="272" t="s">
        <v>872</v>
      </c>
      <c r="C217" s="80" t="s">
        <v>871</v>
      </c>
      <c r="D217" s="73" t="s">
        <v>842</v>
      </c>
      <c r="E217" s="199">
        <f t="shared" ref="E217" si="126">+(H217+I217)/1.16</f>
        <v>2700</v>
      </c>
      <c r="F217" s="194">
        <f t="shared" ref="F217" si="127">+I217-E217</f>
        <v>432</v>
      </c>
      <c r="G217" s="195"/>
      <c r="H217" s="115"/>
      <c r="I217" s="116">
        <v>3132</v>
      </c>
    </row>
    <row r="218" spans="1:9" ht="15.6" x14ac:dyDescent="0.3">
      <c r="A218" s="59">
        <v>46133</v>
      </c>
      <c r="B218" s="54" t="s">
        <v>874</v>
      </c>
      <c r="C218" s="80" t="s">
        <v>873</v>
      </c>
      <c r="D218" s="73" t="s">
        <v>843</v>
      </c>
      <c r="E218" s="199">
        <f t="shared" ref="E218" si="128">+(H218+I218)/1.16</f>
        <v>400</v>
      </c>
      <c r="F218" s="194">
        <f t="shared" ref="F218" si="129">+I218-E218</f>
        <v>64</v>
      </c>
      <c r="G218" s="195"/>
      <c r="H218" s="115"/>
      <c r="I218" s="116">
        <v>464</v>
      </c>
    </row>
    <row r="219" spans="1:9" ht="15.6" x14ac:dyDescent="0.3">
      <c r="A219" s="59">
        <v>46133</v>
      </c>
      <c r="B219" s="54" t="s">
        <v>876</v>
      </c>
      <c r="C219" s="80" t="s">
        <v>875</v>
      </c>
      <c r="D219" s="73" t="s">
        <v>844</v>
      </c>
      <c r="E219" s="199">
        <f t="shared" ref="E219" si="130">+(H219+I219)/1.16</f>
        <v>6450</v>
      </c>
      <c r="F219" s="194">
        <f t="shared" ref="F219" si="131">+I219-E219</f>
        <v>1032</v>
      </c>
      <c r="G219" s="195"/>
      <c r="H219" s="115"/>
      <c r="I219" s="116">
        <v>7482</v>
      </c>
    </row>
    <row r="220" spans="1:9" ht="15.6" x14ac:dyDescent="0.3">
      <c r="A220" s="59">
        <v>46133</v>
      </c>
      <c r="B220" s="54" t="s">
        <v>878</v>
      </c>
      <c r="C220" s="80" t="s">
        <v>877</v>
      </c>
      <c r="D220" s="73" t="s">
        <v>845</v>
      </c>
      <c r="E220" s="199">
        <v>2170</v>
      </c>
      <c r="F220" s="217">
        <v>0</v>
      </c>
      <c r="G220" s="216">
        <v>0</v>
      </c>
      <c r="H220" s="115"/>
      <c r="I220" s="116">
        <v>2170</v>
      </c>
    </row>
    <row r="221" spans="1:9" ht="15.6" x14ac:dyDescent="0.3">
      <c r="A221" s="59">
        <v>46133</v>
      </c>
      <c r="B221" s="54" t="s">
        <v>880</v>
      </c>
      <c r="C221" s="80" t="s">
        <v>879</v>
      </c>
      <c r="D221" s="73" t="s">
        <v>846</v>
      </c>
      <c r="E221" s="199">
        <f t="shared" ref="E221" si="132">+(H221+I221)/1.16</f>
        <v>70.000000000000014</v>
      </c>
      <c r="F221" s="194">
        <f t="shared" ref="F221" si="133">+I221-E221</f>
        <v>11.199999999999989</v>
      </c>
      <c r="G221" s="195"/>
      <c r="H221" s="115"/>
      <c r="I221" s="116">
        <v>81.2</v>
      </c>
    </row>
    <row r="222" spans="1:9" ht="15.6" x14ac:dyDescent="0.3">
      <c r="A222" s="59">
        <v>46133</v>
      </c>
      <c r="B222" s="54" t="s">
        <v>883</v>
      </c>
      <c r="C222" s="80" t="s">
        <v>881</v>
      </c>
      <c r="D222" s="73" t="s">
        <v>847</v>
      </c>
      <c r="E222" s="199">
        <f t="shared" ref="E222" si="134">+(H222+I222)/1.16</f>
        <v>308.39655172413796</v>
      </c>
      <c r="F222" s="194">
        <f t="shared" ref="F222" si="135">+I222-E222</f>
        <v>49.343448275862045</v>
      </c>
      <c r="G222" s="195"/>
      <c r="H222" s="115"/>
      <c r="I222" s="116">
        <v>357.74</v>
      </c>
    </row>
    <row r="223" spans="1:9" ht="15.6" x14ac:dyDescent="0.3">
      <c r="A223" s="59">
        <v>46135</v>
      </c>
      <c r="B223" s="54" t="s">
        <v>884</v>
      </c>
      <c r="C223" s="80" t="s">
        <v>882</v>
      </c>
      <c r="D223" s="73" t="s">
        <v>848</v>
      </c>
      <c r="E223" s="199">
        <f t="shared" ref="E223" si="136">+(H223+I223)/1.16</f>
        <v>1800.0000000000002</v>
      </c>
      <c r="F223" s="194">
        <f t="shared" ref="F223" si="137">+I223-E223</f>
        <v>287.99999999999977</v>
      </c>
      <c r="G223" s="195"/>
      <c r="H223" s="115"/>
      <c r="I223" s="116">
        <v>2088</v>
      </c>
    </row>
    <row r="224" spans="1:9" ht="15.6" x14ac:dyDescent="0.3">
      <c r="A224" s="59">
        <v>46135</v>
      </c>
      <c r="B224" s="54" t="s">
        <v>886</v>
      </c>
      <c r="C224" s="55" t="s">
        <v>885</v>
      </c>
      <c r="D224" s="73" t="s">
        <v>849</v>
      </c>
      <c r="E224" s="199">
        <f t="shared" ref="E224" si="138">+H224/1.16</f>
        <v>262.5</v>
      </c>
      <c r="F224" s="194"/>
      <c r="G224" s="195">
        <f t="shared" ref="G224" si="139">+H224-E224</f>
        <v>42</v>
      </c>
      <c r="H224" s="115">
        <v>304.5</v>
      </c>
      <c r="I224" s="116"/>
    </row>
    <row r="225" spans="1:9" ht="15.6" x14ac:dyDescent="0.3">
      <c r="A225" s="59">
        <v>46135</v>
      </c>
      <c r="B225" s="54" t="s">
        <v>895</v>
      </c>
      <c r="C225" s="55" t="s">
        <v>887</v>
      </c>
      <c r="D225" s="73" t="s">
        <v>850</v>
      </c>
      <c r="E225" s="199">
        <v>400</v>
      </c>
      <c r="F225" s="217">
        <v>0</v>
      </c>
      <c r="G225" s="216">
        <v>0</v>
      </c>
      <c r="H225" s="115">
        <v>400</v>
      </c>
      <c r="I225" s="116"/>
    </row>
    <row r="226" spans="1:9" ht="15.6" x14ac:dyDescent="0.3">
      <c r="A226" s="59">
        <v>46135</v>
      </c>
      <c r="B226" s="54" t="s">
        <v>896</v>
      </c>
      <c r="C226" s="55" t="s">
        <v>888</v>
      </c>
      <c r="D226" s="73" t="s">
        <v>851</v>
      </c>
      <c r="E226" s="199">
        <v>500</v>
      </c>
      <c r="F226" s="217">
        <v>0</v>
      </c>
      <c r="G226" s="216">
        <v>0</v>
      </c>
      <c r="H226" s="115">
        <v>500</v>
      </c>
      <c r="I226" s="116"/>
    </row>
    <row r="227" spans="1:9" ht="15.6" x14ac:dyDescent="0.3">
      <c r="A227" s="59">
        <v>46135</v>
      </c>
      <c r="B227" s="54" t="s">
        <v>897</v>
      </c>
      <c r="C227" s="55" t="s">
        <v>889</v>
      </c>
      <c r="D227" s="73" t="s">
        <v>852</v>
      </c>
      <c r="E227" s="199">
        <f t="shared" ref="E227" si="140">+H227/1.16</f>
        <v>1200</v>
      </c>
      <c r="F227" s="194"/>
      <c r="G227" s="195">
        <f t="shared" ref="G227" si="141">+H227-E227</f>
        <v>192</v>
      </c>
      <c r="H227" s="115">
        <v>1392</v>
      </c>
      <c r="I227" s="116"/>
    </row>
    <row r="228" spans="1:9" ht="15.6" x14ac:dyDescent="0.3">
      <c r="A228" s="59">
        <v>46135</v>
      </c>
      <c r="B228" s="54" t="s">
        <v>898</v>
      </c>
      <c r="C228" s="55" t="s">
        <v>890</v>
      </c>
      <c r="D228" s="73" t="s">
        <v>853</v>
      </c>
      <c r="E228" s="199">
        <f t="shared" ref="E228" si="142">+H228/1.16</f>
        <v>526.76724137931035</v>
      </c>
      <c r="F228" s="194"/>
      <c r="G228" s="195">
        <f t="shared" ref="G228" si="143">+H228-E228</f>
        <v>84.282758620689606</v>
      </c>
      <c r="H228" s="115">
        <v>611.04999999999995</v>
      </c>
      <c r="I228" s="116"/>
    </row>
    <row r="229" spans="1:9" ht="15.6" x14ac:dyDescent="0.3">
      <c r="A229" s="59">
        <v>46141</v>
      </c>
      <c r="B229" s="54" t="s">
        <v>900</v>
      </c>
      <c r="C229" s="55" t="s">
        <v>891</v>
      </c>
      <c r="D229" s="73" t="s">
        <v>854</v>
      </c>
      <c r="E229" s="199">
        <f t="shared" ref="E229" si="144">+H229/1.16</f>
        <v>154.35344827586209</v>
      </c>
      <c r="F229" s="194"/>
      <c r="G229" s="195">
        <f t="shared" ref="G229" si="145">+H229-E229</f>
        <v>24.696551724137919</v>
      </c>
      <c r="H229" s="115">
        <v>179.05</v>
      </c>
      <c r="I229" s="116"/>
    </row>
    <row r="230" spans="1:9" ht="15.6" x14ac:dyDescent="0.3">
      <c r="A230" s="59">
        <v>46141</v>
      </c>
      <c r="B230" s="54" t="s">
        <v>901</v>
      </c>
      <c r="C230" s="55" t="s">
        <v>892</v>
      </c>
      <c r="D230" s="73" t="s">
        <v>855</v>
      </c>
      <c r="E230" s="199">
        <f t="shared" ref="E230" si="146">+H230/1.16</f>
        <v>135.98275862068968</v>
      </c>
      <c r="F230" s="194"/>
      <c r="G230" s="195">
        <f t="shared" ref="G230" si="147">+H230-E230</f>
        <v>21.757241379310329</v>
      </c>
      <c r="H230" s="115">
        <v>157.74</v>
      </c>
      <c r="I230" s="116"/>
    </row>
    <row r="231" spans="1:9" ht="15.6" x14ac:dyDescent="0.3">
      <c r="A231" s="59">
        <v>46141</v>
      </c>
      <c r="B231" s="54" t="s">
        <v>902</v>
      </c>
      <c r="C231" s="55" t="s">
        <v>893</v>
      </c>
      <c r="D231" s="73" t="s">
        <v>856</v>
      </c>
      <c r="E231" s="199">
        <f t="shared" ref="E231:E232" si="148">+H231/1.16</f>
        <v>105</v>
      </c>
      <c r="F231" s="194"/>
      <c r="G231" s="195">
        <f t="shared" ref="G231:G232" si="149">+H231-E231</f>
        <v>16.799999999999997</v>
      </c>
      <c r="H231" s="115">
        <v>121.8</v>
      </c>
      <c r="I231" s="116"/>
    </row>
    <row r="232" spans="1:9" ht="15.6" x14ac:dyDescent="0.3">
      <c r="A232" s="59">
        <v>46141</v>
      </c>
      <c r="B232" s="54" t="s">
        <v>899</v>
      </c>
      <c r="C232" s="55" t="s">
        <v>894</v>
      </c>
      <c r="D232" s="73" t="s">
        <v>857</v>
      </c>
      <c r="E232" s="199">
        <f t="shared" si="148"/>
        <v>136.5</v>
      </c>
      <c r="F232" s="194"/>
      <c r="G232" s="195">
        <f t="shared" si="149"/>
        <v>21.840000000000003</v>
      </c>
      <c r="H232" s="115">
        <v>158.34</v>
      </c>
      <c r="I232" s="116"/>
    </row>
    <row r="233" spans="1:9" ht="15.6" x14ac:dyDescent="0.3">
      <c r="A233" s="59">
        <v>46141</v>
      </c>
      <c r="B233" s="54" t="s">
        <v>860</v>
      </c>
      <c r="C233" s="80" t="s">
        <v>859</v>
      </c>
      <c r="D233" s="73" t="s">
        <v>858</v>
      </c>
      <c r="E233" s="199">
        <f t="shared" ref="E233" si="150">+(H233+I233)/1.16</f>
        <v>100</v>
      </c>
      <c r="F233" s="141">
        <f t="shared" ref="F233" si="151">+I233-E233</f>
        <v>16</v>
      </c>
      <c r="G233" s="195"/>
      <c r="H233" s="115"/>
      <c r="I233" s="116">
        <v>116</v>
      </c>
    </row>
    <row r="234" spans="1:9" ht="16.2" thickBot="1" x14ac:dyDescent="0.35">
      <c r="A234" s="426"/>
      <c r="B234" s="544"/>
      <c r="C234" s="545"/>
      <c r="D234" s="546"/>
      <c r="E234" s="428">
        <f t="shared" ref="E234" si="152">+H234/1.16</f>
        <v>0</v>
      </c>
      <c r="F234" s="429"/>
      <c r="G234" s="424">
        <f t="shared" ref="G234" si="153">+H234-E234</f>
        <v>0</v>
      </c>
      <c r="H234" s="425"/>
      <c r="I234" s="430"/>
    </row>
    <row r="235" spans="1:9" ht="18.600000000000001" thickBot="1" x14ac:dyDescent="0.4">
      <c r="A235" s="436"/>
      <c r="B235" s="437"/>
      <c r="C235" s="438"/>
      <c r="D235" s="439"/>
      <c r="E235" s="547">
        <f>SUM(E193:E234)</f>
        <v>49355.534482758623</v>
      </c>
      <c r="F235" s="548">
        <f t="shared" ref="F235:G235" si="154">SUM(F193:F234)</f>
        <v>6136.1020689655161</v>
      </c>
      <c r="G235" s="549">
        <f t="shared" si="154"/>
        <v>1012.3834482758618</v>
      </c>
      <c r="H235" s="550">
        <f>SUM(H192:H234)</f>
        <v>9847.279999999997</v>
      </c>
      <c r="I235" s="477">
        <f>SUM(I192:I234)</f>
        <v>46656.74</v>
      </c>
    </row>
    <row r="236" spans="1:9" ht="15.6" x14ac:dyDescent="0.3">
      <c r="A236" s="431"/>
      <c r="B236" s="432"/>
      <c r="C236" s="432"/>
      <c r="D236" s="368"/>
      <c r="E236" s="433">
        <f t="shared" ref="E236:E237" si="155">+H236/1.16</f>
        <v>0</v>
      </c>
      <c r="F236" s="434"/>
      <c r="G236" s="271">
        <f t="shared" ref="G236:G237" si="156">+H236-E236</f>
        <v>0</v>
      </c>
      <c r="H236" s="213"/>
      <c r="I236" s="435"/>
    </row>
    <row r="237" spans="1:9" ht="15.6" x14ac:dyDescent="0.3">
      <c r="A237" s="59">
        <v>46148</v>
      </c>
      <c r="B237" s="54" t="s">
        <v>929</v>
      </c>
      <c r="C237" s="55" t="s">
        <v>924</v>
      </c>
      <c r="D237" s="73" t="s">
        <v>926</v>
      </c>
      <c r="E237" s="199">
        <f t="shared" si="155"/>
        <v>210</v>
      </c>
      <c r="F237" s="194"/>
      <c r="G237" s="195">
        <f t="shared" si="156"/>
        <v>33.599999999999994</v>
      </c>
      <c r="H237" s="115">
        <v>243.6</v>
      </c>
      <c r="I237" s="116"/>
    </row>
    <row r="238" spans="1:9" ht="15.6" x14ac:dyDescent="0.3">
      <c r="A238" s="59">
        <v>46148</v>
      </c>
      <c r="B238" s="54" t="s">
        <v>928</v>
      </c>
      <c r="C238" s="55" t="s">
        <v>925</v>
      </c>
      <c r="D238" s="73" t="s">
        <v>927</v>
      </c>
      <c r="E238" s="199">
        <f>+H238/1.16</f>
        <v>181.43965517241381</v>
      </c>
      <c r="F238" s="194"/>
      <c r="G238" s="195">
        <f>+H238-E238</f>
        <v>29.030344827586191</v>
      </c>
      <c r="H238" s="115">
        <v>210.47</v>
      </c>
      <c r="I238" s="116"/>
    </row>
    <row r="239" spans="1:9" ht="15.6" x14ac:dyDescent="0.3">
      <c r="A239" s="59">
        <v>46148</v>
      </c>
      <c r="B239" s="54" t="s">
        <v>957</v>
      </c>
      <c r="C239" s="55" t="s">
        <v>956</v>
      </c>
      <c r="D239" s="73" t="s">
        <v>944</v>
      </c>
      <c r="E239" s="199">
        <f t="shared" ref="E239" si="157">+H239/1.16</f>
        <v>126</v>
      </c>
      <c r="F239" s="194"/>
      <c r="G239" s="195">
        <f t="shared" ref="G239" si="158">+H239-E239</f>
        <v>20.159999999999997</v>
      </c>
      <c r="H239" s="115">
        <v>146.16</v>
      </c>
      <c r="I239" s="116"/>
    </row>
    <row r="240" spans="1:9" ht="15.6" x14ac:dyDescent="0.3">
      <c r="A240" s="59">
        <v>46154</v>
      </c>
      <c r="B240" s="54" t="s">
        <v>949</v>
      </c>
      <c r="C240" s="80" t="s">
        <v>950</v>
      </c>
      <c r="D240" s="73" t="s">
        <v>945</v>
      </c>
      <c r="E240" s="199">
        <f t="shared" ref="E240" si="159">+(H240+I240)/1.16</f>
        <v>300</v>
      </c>
      <c r="F240" s="141">
        <f t="shared" ref="F240" si="160">+I240-E240</f>
        <v>48</v>
      </c>
      <c r="G240" s="195"/>
      <c r="H240" s="115"/>
      <c r="I240" s="116">
        <v>348</v>
      </c>
    </row>
    <row r="241" spans="1:9" ht="15.6" x14ac:dyDescent="0.3">
      <c r="A241" s="59">
        <v>46154</v>
      </c>
      <c r="B241" s="54" t="s">
        <v>953</v>
      </c>
      <c r="C241" s="80" t="s">
        <v>952</v>
      </c>
      <c r="D241" s="73" t="s">
        <v>946</v>
      </c>
      <c r="E241" s="199">
        <v>2905</v>
      </c>
      <c r="F241" s="217">
        <v>0</v>
      </c>
      <c r="G241" s="216">
        <v>0</v>
      </c>
      <c r="H241" s="115"/>
      <c r="I241" s="116">
        <v>2905</v>
      </c>
    </row>
    <row r="242" spans="1:9" ht="15.6" x14ac:dyDescent="0.3">
      <c r="A242" s="59">
        <v>46157</v>
      </c>
      <c r="B242" s="54" t="s">
        <v>954</v>
      </c>
      <c r="C242" s="80" t="s">
        <v>951</v>
      </c>
      <c r="D242" s="73" t="s">
        <v>947</v>
      </c>
      <c r="E242" s="199">
        <f t="shared" ref="E242" si="161">+(H242+I242)/1.16</f>
        <v>9752</v>
      </c>
      <c r="F242" s="141">
        <f t="shared" ref="F242" si="162">+I242-E242</f>
        <v>1560.3199999999997</v>
      </c>
      <c r="G242" s="195"/>
      <c r="H242" s="115"/>
      <c r="I242" s="116">
        <v>11312.32</v>
      </c>
    </row>
    <row r="243" spans="1:9" ht="15.6" x14ac:dyDescent="0.3">
      <c r="A243" s="59">
        <v>46157</v>
      </c>
      <c r="B243" s="54" t="s">
        <v>955</v>
      </c>
      <c r="C243" s="80" t="s">
        <v>1070</v>
      </c>
      <c r="D243" s="73" t="s">
        <v>948</v>
      </c>
      <c r="E243" s="199">
        <f t="shared" ref="E243" si="163">+(H243+I243)/1.16</f>
        <v>347.50000000000006</v>
      </c>
      <c r="F243" s="141">
        <f t="shared" ref="F243" si="164">+I243-E243</f>
        <v>55.599999999999966</v>
      </c>
      <c r="G243" s="195"/>
      <c r="H243" s="115"/>
      <c r="I243" s="116">
        <v>403.1</v>
      </c>
    </row>
    <row r="244" spans="1:9" ht="15.6" x14ac:dyDescent="0.3">
      <c r="A244" s="59">
        <v>46163</v>
      </c>
      <c r="B244" s="54" t="s">
        <v>1009</v>
      </c>
      <c r="C244" s="55" t="s">
        <v>1010</v>
      </c>
      <c r="D244" s="73" t="s">
        <v>977</v>
      </c>
      <c r="E244" s="199">
        <f t="shared" ref="E244:E258" si="165">+H244/1.16</f>
        <v>1393.8793103448277</v>
      </c>
      <c r="F244" s="194"/>
      <c r="G244" s="195">
        <f t="shared" ref="G244:G258" si="166">+H244-E244</f>
        <v>223.02068965517242</v>
      </c>
      <c r="H244" s="115">
        <v>1616.9</v>
      </c>
      <c r="I244" s="116"/>
    </row>
    <row r="245" spans="1:9" ht="15.6" x14ac:dyDescent="0.3">
      <c r="A245" s="59">
        <v>46163</v>
      </c>
      <c r="B245" s="54" t="s">
        <v>1024</v>
      </c>
      <c r="C245" s="55" t="s">
        <v>1011</v>
      </c>
      <c r="D245" s="73" t="s">
        <v>978</v>
      </c>
      <c r="E245" s="199">
        <f t="shared" si="165"/>
        <v>236.25000000000003</v>
      </c>
      <c r="F245" s="194"/>
      <c r="G245" s="195">
        <f t="shared" si="166"/>
        <v>37.799999999999983</v>
      </c>
      <c r="H245" s="115">
        <v>274.05</v>
      </c>
      <c r="I245" s="116"/>
    </row>
    <row r="246" spans="1:9" ht="15.6" x14ac:dyDescent="0.3">
      <c r="A246" s="59">
        <v>46163</v>
      </c>
      <c r="B246" s="54" t="s">
        <v>1025</v>
      </c>
      <c r="C246" s="55" t="s">
        <v>1012</v>
      </c>
      <c r="D246" s="73" t="s">
        <v>979</v>
      </c>
      <c r="E246" s="199">
        <f t="shared" si="165"/>
        <v>192.14655172413794</v>
      </c>
      <c r="F246" s="194"/>
      <c r="G246" s="195">
        <f t="shared" si="166"/>
        <v>30.74344827586205</v>
      </c>
      <c r="H246" s="115">
        <v>222.89</v>
      </c>
      <c r="I246" s="116"/>
    </row>
    <row r="247" spans="1:9" ht="15.6" x14ac:dyDescent="0.3">
      <c r="A247" s="59">
        <v>46163</v>
      </c>
      <c r="B247" s="54" t="s">
        <v>1026</v>
      </c>
      <c r="C247" s="55" t="s">
        <v>1013</v>
      </c>
      <c r="D247" s="73" t="s">
        <v>980</v>
      </c>
      <c r="E247" s="199">
        <f t="shared" si="165"/>
        <v>192.14655172413794</v>
      </c>
      <c r="F247" s="194"/>
      <c r="G247" s="195">
        <f t="shared" si="166"/>
        <v>30.74344827586205</v>
      </c>
      <c r="H247" s="115">
        <v>222.89</v>
      </c>
      <c r="I247" s="116"/>
    </row>
    <row r="248" spans="1:9" ht="15.6" x14ac:dyDescent="0.3">
      <c r="A248" s="59">
        <v>46163</v>
      </c>
      <c r="B248" s="54" t="s">
        <v>1027</v>
      </c>
      <c r="C248" s="55" t="s">
        <v>1014</v>
      </c>
      <c r="D248" s="73" t="s">
        <v>981</v>
      </c>
      <c r="E248" s="199">
        <v>157.5</v>
      </c>
      <c r="F248" s="217">
        <v>0</v>
      </c>
      <c r="G248" s="216">
        <v>0</v>
      </c>
      <c r="H248" s="115">
        <v>157.5</v>
      </c>
      <c r="I248" s="116"/>
    </row>
    <row r="249" spans="1:9" ht="15.6" x14ac:dyDescent="0.3">
      <c r="A249" s="59">
        <v>46163</v>
      </c>
      <c r="B249" s="54" t="s">
        <v>1028</v>
      </c>
      <c r="C249" s="55" t="s">
        <v>1015</v>
      </c>
      <c r="D249" s="73" t="s">
        <v>982</v>
      </c>
      <c r="E249" s="199">
        <v>700</v>
      </c>
      <c r="F249" s="217">
        <v>0</v>
      </c>
      <c r="G249" s="216">
        <v>0</v>
      </c>
      <c r="H249" s="115">
        <v>700</v>
      </c>
      <c r="I249" s="116"/>
    </row>
    <row r="250" spans="1:9" ht="15.6" x14ac:dyDescent="0.3">
      <c r="A250" s="51"/>
      <c r="B250" s="382"/>
      <c r="C250" s="554" t="s">
        <v>1016</v>
      </c>
      <c r="D250" s="551"/>
      <c r="E250" s="199"/>
      <c r="F250" s="217"/>
      <c r="G250" s="216"/>
      <c r="H250" s="115"/>
      <c r="I250" s="116"/>
    </row>
    <row r="251" spans="1:9" ht="15.6" x14ac:dyDescent="0.3">
      <c r="A251" s="59">
        <v>46163</v>
      </c>
      <c r="B251" s="54" t="s">
        <v>1029</v>
      </c>
      <c r="C251" s="55" t="s">
        <v>1017</v>
      </c>
      <c r="D251" s="73" t="s">
        <v>983</v>
      </c>
      <c r="E251" s="199">
        <v>750</v>
      </c>
      <c r="F251" s="217">
        <v>0</v>
      </c>
      <c r="G251" s="216">
        <v>0</v>
      </c>
      <c r="H251" s="115">
        <v>750</v>
      </c>
      <c r="I251" s="116"/>
    </row>
    <row r="252" spans="1:9" ht="15.6" x14ac:dyDescent="0.3">
      <c r="A252" s="59">
        <v>46163</v>
      </c>
      <c r="B252" s="54" t="s">
        <v>1030</v>
      </c>
      <c r="C252" s="55" t="s">
        <v>1018</v>
      </c>
      <c r="D252" s="73" t="s">
        <v>984</v>
      </c>
      <c r="E252" s="199">
        <v>250</v>
      </c>
      <c r="F252" s="217">
        <v>0</v>
      </c>
      <c r="G252" s="216">
        <v>0</v>
      </c>
      <c r="H252" s="115">
        <v>250</v>
      </c>
      <c r="I252" s="116"/>
    </row>
    <row r="253" spans="1:9" ht="15.6" x14ac:dyDescent="0.3">
      <c r="A253" s="59">
        <v>46163</v>
      </c>
      <c r="B253" s="54" t="s">
        <v>1031</v>
      </c>
      <c r="C253" s="55" t="s">
        <v>1019</v>
      </c>
      <c r="D253" s="73" t="s">
        <v>985</v>
      </c>
      <c r="E253" s="199">
        <f t="shared" si="165"/>
        <v>189.00000000000003</v>
      </c>
      <c r="F253" s="194"/>
      <c r="G253" s="195">
        <f t="shared" si="166"/>
        <v>30.239999999999981</v>
      </c>
      <c r="H253" s="115">
        <v>219.24</v>
      </c>
      <c r="I253" s="116"/>
    </row>
    <row r="254" spans="1:9" ht="15.6" x14ac:dyDescent="0.3">
      <c r="A254" s="59">
        <v>46163</v>
      </c>
      <c r="B254" s="54" t="s">
        <v>1032</v>
      </c>
      <c r="C254" s="55" t="s">
        <v>1020</v>
      </c>
      <c r="D254" s="73" t="s">
        <v>986</v>
      </c>
      <c r="E254" s="199">
        <f t="shared" si="165"/>
        <v>252</v>
      </c>
      <c r="F254" s="194"/>
      <c r="G254" s="195">
        <f t="shared" si="166"/>
        <v>40.319999999999993</v>
      </c>
      <c r="H254" s="115">
        <v>292.32</v>
      </c>
      <c r="I254" s="116"/>
    </row>
    <row r="255" spans="1:9" ht="15.6" x14ac:dyDescent="0.3">
      <c r="A255" s="59">
        <v>46163</v>
      </c>
      <c r="B255" s="54" t="s">
        <v>1033</v>
      </c>
      <c r="C255" s="55" t="s">
        <v>1021</v>
      </c>
      <c r="D255" s="73" t="s">
        <v>987</v>
      </c>
      <c r="E255" s="199">
        <f t="shared" si="165"/>
        <v>420</v>
      </c>
      <c r="F255" s="194"/>
      <c r="G255" s="195">
        <f t="shared" si="166"/>
        <v>67.199999999999989</v>
      </c>
      <c r="H255" s="115">
        <v>487.2</v>
      </c>
      <c r="I255" s="116"/>
    </row>
    <row r="256" spans="1:9" ht="15.6" x14ac:dyDescent="0.3">
      <c r="A256" s="59">
        <v>46163</v>
      </c>
      <c r="B256" s="54" t="s">
        <v>1034</v>
      </c>
      <c r="C256" s="55" t="s">
        <v>1022</v>
      </c>
      <c r="D256" s="73" t="s">
        <v>988</v>
      </c>
      <c r="E256" s="199">
        <f t="shared" si="165"/>
        <v>275</v>
      </c>
      <c r="F256" s="194"/>
      <c r="G256" s="195">
        <f t="shared" si="166"/>
        <v>44</v>
      </c>
      <c r="H256" s="115">
        <v>319</v>
      </c>
      <c r="I256" s="116"/>
    </row>
    <row r="257" spans="1:9" ht="15.6" x14ac:dyDescent="0.3">
      <c r="A257" s="59">
        <v>46163</v>
      </c>
      <c r="B257" s="54" t="s">
        <v>1035</v>
      </c>
      <c r="C257" s="55" t="s">
        <v>1023</v>
      </c>
      <c r="D257" s="73" t="s">
        <v>989</v>
      </c>
      <c r="E257" s="199">
        <f t="shared" si="165"/>
        <v>350</v>
      </c>
      <c r="F257" s="194"/>
      <c r="G257" s="195">
        <f t="shared" si="166"/>
        <v>56</v>
      </c>
      <c r="H257" s="115">
        <v>406</v>
      </c>
      <c r="I257" s="116"/>
    </row>
    <row r="258" spans="1:9" ht="15.6" x14ac:dyDescent="0.3">
      <c r="A258" s="59">
        <v>46163</v>
      </c>
      <c r="B258" s="54" t="s">
        <v>1036</v>
      </c>
      <c r="C258" s="55" t="s">
        <v>1037</v>
      </c>
      <c r="D258" s="73" t="s">
        <v>990</v>
      </c>
      <c r="E258" s="199">
        <f t="shared" si="165"/>
        <v>174.56034482758622</v>
      </c>
      <c r="F258" s="194"/>
      <c r="G258" s="195">
        <f t="shared" si="166"/>
        <v>27.929655172413788</v>
      </c>
      <c r="H258" s="115">
        <v>202.49</v>
      </c>
      <c r="I258" s="116"/>
    </row>
    <row r="259" spans="1:9" ht="15.6" x14ac:dyDescent="0.3">
      <c r="A259" s="59">
        <v>46163</v>
      </c>
      <c r="B259" s="272" t="s">
        <v>995</v>
      </c>
      <c r="C259" s="80" t="s">
        <v>996</v>
      </c>
      <c r="D259" s="73" t="s">
        <v>991</v>
      </c>
      <c r="E259" s="199">
        <f t="shared" ref="E259" si="167">+(H259+I259)/1.16</f>
        <v>2335</v>
      </c>
      <c r="F259" s="141">
        <f t="shared" ref="F259" si="168">+I259-E259</f>
        <v>373.59999999999991</v>
      </c>
      <c r="G259" s="195"/>
      <c r="H259" s="115"/>
      <c r="I259" s="116">
        <v>2708.6</v>
      </c>
    </row>
    <row r="260" spans="1:9" ht="15.6" x14ac:dyDescent="0.3">
      <c r="A260" s="59">
        <v>46163</v>
      </c>
      <c r="B260" s="54" t="s">
        <v>997</v>
      </c>
      <c r="C260" s="80" t="s">
        <v>998</v>
      </c>
      <c r="D260" s="73" t="s">
        <v>992</v>
      </c>
      <c r="E260" s="199">
        <f t="shared" ref="E260" si="169">+(H260+I260)/1.16</f>
        <v>2165.0000000000005</v>
      </c>
      <c r="F260" s="141">
        <f t="shared" ref="F260" si="170">+I260-E260</f>
        <v>346.39999999999964</v>
      </c>
      <c r="G260" s="195"/>
      <c r="H260" s="115"/>
      <c r="I260" s="116">
        <v>2511.4</v>
      </c>
    </row>
    <row r="261" spans="1:9" ht="15.6" x14ac:dyDescent="0.3">
      <c r="A261" s="59">
        <v>46163</v>
      </c>
      <c r="B261" s="54" t="s">
        <v>1003</v>
      </c>
      <c r="C261" s="80" t="s">
        <v>1002</v>
      </c>
      <c r="D261" s="73" t="s">
        <v>993</v>
      </c>
      <c r="E261" s="199">
        <f t="shared" ref="E261" si="171">+(H261+I261)/1.16</f>
        <v>2574.0000000000005</v>
      </c>
      <c r="F261" s="141">
        <f t="shared" ref="F261" si="172">+I261-E261</f>
        <v>411.83999999999969</v>
      </c>
      <c r="G261" s="195"/>
      <c r="H261" s="115"/>
      <c r="I261" s="116">
        <v>2985.84</v>
      </c>
    </row>
    <row r="262" spans="1:9" ht="15.6" x14ac:dyDescent="0.3">
      <c r="A262" s="59">
        <v>46163</v>
      </c>
      <c r="B262" s="272" t="s">
        <v>1004</v>
      </c>
      <c r="C262" s="80" t="s">
        <v>1005</v>
      </c>
      <c r="D262" s="73" t="s">
        <v>994</v>
      </c>
      <c r="E262" s="199">
        <f t="shared" ref="E262" si="173">+(H262+I262)/1.16</f>
        <v>14336</v>
      </c>
      <c r="F262" s="141">
        <f t="shared" ref="F262" si="174">+I262-E262</f>
        <v>2293.7599999999984</v>
      </c>
      <c r="G262" s="195"/>
      <c r="H262" s="115"/>
      <c r="I262" s="116">
        <v>16629.759999999998</v>
      </c>
    </row>
    <row r="263" spans="1:9" ht="15.6" x14ac:dyDescent="0.3">
      <c r="A263" s="59">
        <v>46164</v>
      </c>
      <c r="B263" s="54" t="s">
        <v>1001</v>
      </c>
      <c r="C263" s="80" t="s">
        <v>1000</v>
      </c>
      <c r="D263" s="73" t="s">
        <v>999</v>
      </c>
      <c r="E263" s="199">
        <f t="shared" ref="E263" si="175">+(H263+I263)/1.16</f>
        <v>1370.0000000000002</v>
      </c>
      <c r="F263" s="141">
        <f t="shared" ref="F263" si="176">+I263-E263</f>
        <v>219.19999999999982</v>
      </c>
      <c r="G263" s="195"/>
      <c r="H263" s="115"/>
      <c r="I263" s="116">
        <v>1589.2</v>
      </c>
    </row>
    <row r="264" spans="1:9" ht="15.6" x14ac:dyDescent="0.3">
      <c r="A264" s="59">
        <v>46164</v>
      </c>
      <c r="B264" s="54" t="s">
        <v>1039</v>
      </c>
      <c r="C264" s="55" t="s">
        <v>1038</v>
      </c>
      <c r="D264" s="73" t="s">
        <v>1006</v>
      </c>
      <c r="E264" s="199">
        <f t="shared" ref="E264:E277" si="177">+H264/1.16</f>
        <v>40218.491379310348</v>
      </c>
      <c r="F264" s="194"/>
      <c r="G264" s="195">
        <f t="shared" ref="G264:G277" si="178">+H264-E264</f>
        <v>6434.9586206896493</v>
      </c>
      <c r="H264" s="115">
        <v>46653.45</v>
      </c>
      <c r="I264" s="116"/>
    </row>
    <row r="265" spans="1:9" ht="15.6" x14ac:dyDescent="0.3">
      <c r="A265" s="59">
        <v>46164</v>
      </c>
      <c r="B265" s="54" t="s">
        <v>1041</v>
      </c>
      <c r="C265" s="55" t="s">
        <v>1040</v>
      </c>
      <c r="D265" s="73" t="s">
        <v>1007</v>
      </c>
      <c r="E265" s="199">
        <f t="shared" si="177"/>
        <v>230.00000000000003</v>
      </c>
      <c r="F265" s="194"/>
      <c r="G265" s="195">
        <f t="shared" si="178"/>
        <v>36.799999999999983</v>
      </c>
      <c r="H265" s="115">
        <v>266.8</v>
      </c>
      <c r="I265" s="116"/>
    </row>
    <row r="266" spans="1:9" ht="15.6" x14ac:dyDescent="0.3">
      <c r="A266" s="59">
        <v>46164</v>
      </c>
      <c r="B266" s="54" t="s">
        <v>1043</v>
      </c>
      <c r="C266" s="55" t="s">
        <v>1042</v>
      </c>
      <c r="D266" s="73" t="s">
        <v>1008</v>
      </c>
      <c r="E266" s="199">
        <f t="shared" si="177"/>
        <v>2050</v>
      </c>
      <c r="F266" s="194"/>
      <c r="G266" s="195">
        <f t="shared" si="178"/>
        <v>328</v>
      </c>
      <c r="H266" s="115">
        <v>2378</v>
      </c>
      <c r="I266" s="116"/>
    </row>
    <row r="267" spans="1:9" ht="15.6" x14ac:dyDescent="0.3">
      <c r="A267" s="59">
        <v>46169</v>
      </c>
      <c r="B267" s="54" t="s">
        <v>1108</v>
      </c>
      <c r="C267" s="55" t="s">
        <v>1110</v>
      </c>
      <c r="D267" s="73" t="s">
        <v>1082</v>
      </c>
      <c r="E267" s="199">
        <f t="shared" si="177"/>
        <v>1393.8793103448277</v>
      </c>
      <c r="F267" s="194"/>
      <c r="G267" s="195">
        <f t="shared" si="178"/>
        <v>223.02068965517242</v>
      </c>
      <c r="H267" s="115">
        <v>1616.9</v>
      </c>
      <c r="I267" s="116"/>
    </row>
    <row r="268" spans="1:9" ht="15.6" x14ac:dyDescent="0.3">
      <c r="A268" s="59">
        <v>46169</v>
      </c>
      <c r="B268" s="54" t="s">
        <v>1109</v>
      </c>
      <c r="C268" s="55" t="s">
        <v>1111</v>
      </c>
      <c r="D268" s="73" t="s">
        <v>1083</v>
      </c>
      <c r="E268" s="199">
        <f t="shared" si="177"/>
        <v>236.25000000000003</v>
      </c>
      <c r="F268" s="194"/>
      <c r="G268" s="195">
        <f t="shared" si="178"/>
        <v>37.799999999999983</v>
      </c>
      <c r="H268" s="115">
        <v>274.05</v>
      </c>
      <c r="I268" s="116"/>
    </row>
    <row r="269" spans="1:9" ht="15.6" x14ac:dyDescent="0.3">
      <c r="A269" s="59">
        <v>46169</v>
      </c>
      <c r="B269" s="54" t="s">
        <v>1133</v>
      </c>
      <c r="C269" s="55" t="s">
        <v>1112</v>
      </c>
      <c r="D269" s="73" t="s">
        <v>1084</v>
      </c>
      <c r="E269" s="199">
        <f t="shared" si="177"/>
        <v>192.14655172413794</v>
      </c>
      <c r="F269" s="194"/>
      <c r="G269" s="195">
        <f t="shared" si="178"/>
        <v>30.74344827586205</v>
      </c>
      <c r="H269" s="115">
        <v>222.89</v>
      </c>
      <c r="I269" s="116"/>
    </row>
    <row r="270" spans="1:9" ht="15.6" x14ac:dyDescent="0.3">
      <c r="A270" s="59">
        <v>46169</v>
      </c>
      <c r="B270" s="54" t="s">
        <v>1114</v>
      </c>
      <c r="C270" s="55" t="s">
        <v>1113</v>
      </c>
      <c r="D270" s="73" t="s">
        <v>1085</v>
      </c>
      <c r="E270" s="199">
        <f t="shared" si="177"/>
        <v>105</v>
      </c>
      <c r="F270" s="194"/>
      <c r="G270" s="195">
        <f t="shared" si="178"/>
        <v>16.799999999999997</v>
      </c>
      <c r="H270" s="115">
        <v>121.8</v>
      </c>
      <c r="I270" s="116"/>
    </row>
    <row r="271" spans="1:9" ht="15.6" x14ac:dyDescent="0.3">
      <c r="A271" s="59">
        <v>46169</v>
      </c>
      <c r="B271" s="54" t="s">
        <v>1115</v>
      </c>
      <c r="C271" s="55" t="s">
        <v>1116</v>
      </c>
      <c r="D271" s="73" t="s">
        <v>1086</v>
      </c>
      <c r="E271" s="199">
        <f t="shared" si="177"/>
        <v>136.5</v>
      </c>
      <c r="F271" s="194"/>
      <c r="G271" s="195">
        <f t="shared" si="178"/>
        <v>21.840000000000003</v>
      </c>
      <c r="H271" s="115">
        <v>158.34</v>
      </c>
      <c r="I271" s="116"/>
    </row>
    <row r="272" spans="1:9" ht="15.6" x14ac:dyDescent="0.3">
      <c r="A272" s="59">
        <v>46169</v>
      </c>
      <c r="B272" s="54" t="s">
        <v>1120</v>
      </c>
      <c r="C272" s="55" t="s">
        <v>1117</v>
      </c>
      <c r="D272" s="73" t="s">
        <v>1087</v>
      </c>
      <c r="E272" s="199">
        <f t="shared" si="177"/>
        <v>154.35344827586209</v>
      </c>
      <c r="F272" s="194"/>
      <c r="G272" s="195">
        <f t="shared" si="178"/>
        <v>24.696551724137919</v>
      </c>
      <c r="H272" s="115">
        <v>179.05</v>
      </c>
      <c r="I272" s="116"/>
    </row>
    <row r="273" spans="1:9" ht="15.6" x14ac:dyDescent="0.3">
      <c r="A273" s="59">
        <v>46169</v>
      </c>
      <c r="B273" s="54" t="s">
        <v>1121</v>
      </c>
      <c r="C273" s="55" t="s">
        <v>1118</v>
      </c>
      <c r="D273" s="73" t="s">
        <v>1088</v>
      </c>
      <c r="E273" s="199">
        <f t="shared" si="177"/>
        <v>135.98275862068968</v>
      </c>
      <c r="F273" s="194"/>
      <c r="G273" s="195">
        <f t="shared" si="178"/>
        <v>21.757241379310329</v>
      </c>
      <c r="H273" s="115">
        <v>157.74</v>
      </c>
      <c r="I273" s="116"/>
    </row>
    <row r="274" spans="1:9" ht="15.6" x14ac:dyDescent="0.3">
      <c r="A274" s="59">
        <v>46169</v>
      </c>
      <c r="B274" s="54" t="s">
        <v>1122</v>
      </c>
      <c r="C274" s="55" t="s">
        <v>1119</v>
      </c>
      <c r="D274" s="73" t="s">
        <v>1089</v>
      </c>
      <c r="E274" s="199">
        <f t="shared" si="177"/>
        <v>1200</v>
      </c>
      <c r="F274" s="194"/>
      <c r="G274" s="195">
        <f t="shared" si="178"/>
        <v>192</v>
      </c>
      <c r="H274" s="115">
        <v>1392</v>
      </c>
      <c r="I274" s="116"/>
    </row>
    <row r="275" spans="1:9" ht="15.6" x14ac:dyDescent="0.3">
      <c r="A275" s="59">
        <v>46169</v>
      </c>
      <c r="B275" s="54" t="s">
        <v>1129</v>
      </c>
      <c r="C275" s="55" t="s">
        <v>1124</v>
      </c>
      <c r="D275" s="73" t="s">
        <v>1123</v>
      </c>
      <c r="E275" s="199">
        <v>500</v>
      </c>
      <c r="F275" s="217">
        <v>0</v>
      </c>
      <c r="G275" s="216">
        <v>0</v>
      </c>
      <c r="H275" s="115">
        <v>500</v>
      </c>
      <c r="I275" s="116"/>
    </row>
    <row r="276" spans="1:9" ht="15.6" x14ac:dyDescent="0.3">
      <c r="A276" s="59">
        <v>46169</v>
      </c>
      <c r="B276" s="54" t="s">
        <v>1130</v>
      </c>
      <c r="C276" s="55" t="s">
        <v>1125</v>
      </c>
      <c r="D276" s="73" t="s">
        <v>1090</v>
      </c>
      <c r="E276" s="199">
        <f t="shared" si="177"/>
        <v>262.5</v>
      </c>
      <c r="F276" s="194"/>
      <c r="G276" s="195">
        <f t="shared" si="178"/>
        <v>42</v>
      </c>
      <c r="H276" s="115">
        <v>304.5</v>
      </c>
      <c r="I276" s="116"/>
    </row>
    <row r="277" spans="1:9" ht="15.6" x14ac:dyDescent="0.3">
      <c r="A277" s="59">
        <v>46169</v>
      </c>
      <c r="B277" s="54" t="s">
        <v>1131</v>
      </c>
      <c r="C277" s="55" t="s">
        <v>1126</v>
      </c>
      <c r="D277" s="73" t="s">
        <v>1091</v>
      </c>
      <c r="E277" s="199">
        <f t="shared" si="177"/>
        <v>522</v>
      </c>
      <c r="F277" s="194"/>
      <c r="G277" s="195">
        <f t="shared" si="178"/>
        <v>83.519999999999982</v>
      </c>
      <c r="H277" s="115">
        <v>605.52</v>
      </c>
      <c r="I277" s="116"/>
    </row>
    <row r="278" spans="1:9" ht="15.6" x14ac:dyDescent="0.3">
      <c r="A278" s="59"/>
      <c r="B278" s="56"/>
      <c r="C278" s="60"/>
      <c r="D278" s="77"/>
      <c r="E278" s="199">
        <f t="shared" ref="E278" si="179">+H278/1.16</f>
        <v>0</v>
      </c>
      <c r="F278" s="194"/>
      <c r="G278" s="195">
        <f t="shared" ref="G278" si="180">+H278-E278</f>
        <v>0</v>
      </c>
      <c r="H278" s="115"/>
      <c r="I278" s="116"/>
    </row>
    <row r="279" spans="1:9" ht="18" x14ac:dyDescent="0.35">
      <c r="A279" s="51"/>
      <c r="B279" s="70"/>
      <c r="C279" s="47"/>
      <c r="D279" s="75"/>
      <c r="E279" s="193">
        <f t="shared" ref="E279:I279" si="181">SUM(E237:E278)</f>
        <v>89471.525862068971</v>
      </c>
      <c r="F279" s="197">
        <f t="shared" si="181"/>
        <v>5308.7199999999966</v>
      </c>
      <c r="G279" s="197">
        <f t="shared" si="181"/>
        <v>8164.724137931029</v>
      </c>
      <c r="H279" s="117">
        <f t="shared" si="181"/>
        <v>61551.75</v>
      </c>
      <c r="I279" s="117">
        <f t="shared" si="181"/>
        <v>41393.22</v>
      </c>
    </row>
    <row r="280" spans="1:9" ht="15.6" x14ac:dyDescent="0.3">
      <c r="A280" s="51"/>
      <c r="B280" s="54"/>
      <c r="C280" s="54"/>
      <c r="D280" s="76"/>
      <c r="E280" s="199">
        <f t="shared" ref="E280:E296" si="182">+H280/1.16</f>
        <v>0</v>
      </c>
      <c r="F280" s="194"/>
      <c r="G280" s="195">
        <f t="shared" ref="G280:G296" si="183">+H280-E280</f>
        <v>0</v>
      </c>
      <c r="H280" s="119"/>
      <c r="I280" s="120"/>
    </row>
    <row r="281" spans="1:9" ht="15.6" x14ac:dyDescent="0.3">
      <c r="A281" s="59">
        <v>46174</v>
      </c>
      <c r="B281" s="54" t="s">
        <v>1186</v>
      </c>
      <c r="C281" s="554" t="s">
        <v>1191</v>
      </c>
      <c r="D281" s="73" t="s">
        <v>1092</v>
      </c>
      <c r="E281" s="199">
        <v>1200</v>
      </c>
      <c r="F281" s="217">
        <v>0</v>
      </c>
      <c r="G281" s="216">
        <v>0</v>
      </c>
      <c r="H281" s="119">
        <v>1200</v>
      </c>
      <c r="I281" s="120"/>
    </row>
    <row r="282" spans="1:9" ht="15.6" x14ac:dyDescent="0.3">
      <c r="A282" s="59">
        <v>46174</v>
      </c>
      <c r="B282" s="273" t="s">
        <v>1187</v>
      </c>
      <c r="C282" s="80" t="s">
        <v>1188</v>
      </c>
      <c r="D282" s="73" t="s">
        <v>1093</v>
      </c>
      <c r="E282" s="199">
        <v>4000</v>
      </c>
      <c r="F282" s="217">
        <v>0</v>
      </c>
      <c r="G282" s="216">
        <v>0</v>
      </c>
      <c r="H282" s="119">
        <v>4000</v>
      </c>
      <c r="I282" s="120"/>
    </row>
    <row r="283" spans="1:9" ht="15.6" x14ac:dyDescent="0.3">
      <c r="A283" s="59">
        <v>46174</v>
      </c>
      <c r="B283" s="273" t="s">
        <v>110</v>
      </c>
      <c r="C283" s="80" t="s">
        <v>1189</v>
      </c>
      <c r="D283" s="73" t="s">
        <v>1094</v>
      </c>
      <c r="E283" s="199">
        <v>4000</v>
      </c>
      <c r="F283" s="217">
        <v>0</v>
      </c>
      <c r="G283" s="216">
        <v>0</v>
      </c>
      <c r="H283" s="119">
        <v>4000</v>
      </c>
      <c r="I283" s="120"/>
    </row>
    <row r="284" spans="1:9" ht="15.6" x14ac:dyDescent="0.3">
      <c r="A284" s="59">
        <v>46174</v>
      </c>
      <c r="B284" s="273" t="s">
        <v>110</v>
      </c>
      <c r="C284" s="80" t="s">
        <v>1190</v>
      </c>
      <c r="D284" s="73" t="s">
        <v>1095</v>
      </c>
      <c r="E284" s="199">
        <v>13000</v>
      </c>
      <c r="F284" s="217">
        <v>0</v>
      </c>
      <c r="G284" s="216">
        <v>0</v>
      </c>
      <c r="H284" s="119">
        <v>13000</v>
      </c>
      <c r="I284" s="120"/>
    </row>
    <row r="285" spans="1:9" ht="15.6" x14ac:dyDescent="0.3">
      <c r="A285" s="59">
        <v>46174</v>
      </c>
      <c r="B285" s="54" t="s">
        <v>1132</v>
      </c>
      <c r="C285" s="55" t="s">
        <v>1127</v>
      </c>
      <c r="D285" s="73" t="s">
        <v>1096</v>
      </c>
      <c r="E285" s="199">
        <f t="shared" si="182"/>
        <v>60</v>
      </c>
      <c r="F285" s="194"/>
      <c r="G285" s="195">
        <f t="shared" si="183"/>
        <v>9.5999999999999943</v>
      </c>
      <c r="H285" s="119">
        <v>69.599999999999994</v>
      </c>
      <c r="I285" s="120"/>
    </row>
    <row r="286" spans="1:9" ht="15.6" x14ac:dyDescent="0.3">
      <c r="A286" s="59">
        <v>46174</v>
      </c>
      <c r="B286" s="54" t="s">
        <v>1134</v>
      </c>
      <c r="C286" s="55" t="s">
        <v>1128</v>
      </c>
      <c r="D286" s="73" t="s">
        <v>1097</v>
      </c>
      <c r="E286" s="199">
        <f t="shared" si="182"/>
        <v>366</v>
      </c>
      <c r="F286" s="194"/>
      <c r="G286" s="195">
        <f t="shared" si="183"/>
        <v>58.56</v>
      </c>
      <c r="H286" s="119">
        <v>424.56</v>
      </c>
      <c r="I286" s="120"/>
    </row>
    <row r="287" spans="1:9" ht="15.6" x14ac:dyDescent="0.3">
      <c r="A287" s="59">
        <v>46174</v>
      </c>
      <c r="B287" s="54" t="s">
        <v>1135</v>
      </c>
      <c r="C287" s="55" t="s">
        <v>1136</v>
      </c>
      <c r="D287" s="73" t="s">
        <v>1098</v>
      </c>
      <c r="E287" s="199">
        <f t="shared" si="182"/>
        <v>150</v>
      </c>
      <c r="F287" s="194"/>
      <c r="G287" s="195">
        <f t="shared" si="183"/>
        <v>24</v>
      </c>
      <c r="H287" s="119">
        <v>174</v>
      </c>
      <c r="I287" s="120"/>
    </row>
    <row r="288" spans="1:9" ht="15.6" x14ac:dyDescent="0.3">
      <c r="A288" s="59">
        <v>46177</v>
      </c>
      <c r="B288" s="54" t="s">
        <v>1153</v>
      </c>
      <c r="C288" s="80" t="s">
        <v>1154</v>
      </c>
      <c r="D288" s="73" t="s">
        <v>1099</v>
      </c>
      <c r="E288" s="199">
        <f t="shared" ref="E288" si="184">+(H288+I288)/1.16</f>
        <v>5515</v>
      </c>
      <c r="F288" s="141">
        <f t="shared" ref="F288" si="185">+I288-E288</f>
        <v>882.39999999999964</v>
      </c>
      <c r="G288" s="195"/>
      <c r="H288" s="119"/>
      <c r="I288" s="120">
        <v>6397.4</v>
      </c>
    </row>
    <row r="289" spans="1:9" ht="15.6" x14ac:dyDescent="0.3">
      <c r="A289" s="59">
        <v>46177</v>
      </c>
      <c r="B289" s="54" t="s">
        <v>1151</v>
      </c>
      <c r="C289" s="80" t="s">
        <v>1152</v>
      </c>
      <c r="D289" s="73" t="s">
        <v>1100</v>
      </c>
      <c r="E289" s="199">
        <f t="shared" ref="E289" si="186">+(H289+I289)/1.16</f>
        <v>22808.758620689656</v>
      </c>
      <c r="F289" s="141">
        <f t="shared" ref="F289" si="187">+I289-E289</f>
        <v>3649.4013793103441</v>
      </c>
      <c r="G289" s="195"/>
      <c r="H289" s="119"/>
      <c r="I289" s="120">
        <v>26458.16</v>
      </c>
    </row>
    <row r="290" spans="1:9" ht="15.6" x14ac:dyDescent="0.3">
      <c r="A290" s="59">
        <v>46177</v>
      </c>
      <c r="B290" s="54" t="s">
        <v>1140</v>
      </c>
      <c r="C290" s="55" t="s">
        <v>1137</v>
      </c>
      <c r="D290" s="73" t="s">
        <v>1101</v>
      </c>
      <c r="E290" s="199">
        <f t="shared" si="182"/>
        <v>350</v>
      </c>
      <c r="F290" s="194"/>
      <c r="G290" s="195">
        <f t="shared" si="183"/>
        <v>56</v>
      </c>
      <c r="H290" s="119">
        <v>406</v>
      </c>
      <c r="I290" s="120"/>
    </row>
    <row r="291" spans="1:9" ht="15.6" x14ac:dyDescent="0.3">
      <c r="A291" s="59">
        <v>46177</v>
      </c>
      <c r="B291" s="54" t="s">
        <v>1141</v>
      </c>
      <c r="C291" s="55" t="s">
        <v>1138</v>
      </c>
      <c r="D291" s="73" t="s">
        <v>1102</v>
      </c>
      <c r="E291" s="199">
        <f t="shared" si="182"/>
        <v>126</v>
      </c>
      <c r="F291" s="194"/>
      <c r="G291" s="195">
        <f t="shared" si="183"/>
        <v>20.159999999999997</v>
      </c>
      <c r="H291" s="119">
        <v>146.16</v>
      </c>
      <c r="I291" s="120"/>
    </row>
    <row r="292" spans="1:9" ht="15.6" x14ac:dyDescent="0.3">
      <c r="A292" s="59">
        <v>46177</v>
      </c>
      <c r="B292" s="54" t="s">
        <v>1142</v>
      </c>
      <c r="C292" s="55" t="s">
        <v>1139</v>
      </c>
      <c r="D292" s="73" t="s">
        <v>1103</v>
      </c>
      <c r="E292" s="199">
        <f t="shared" si="182"/>
        <v>420</v>
      </c>
      <c r="F292" s="194"/>
      <c r="G292" s="195">
        <f t="shared" si="183"/>
        <v>67.199999999999989</v>
      </c>
      <c r="H292" s="119">
        <v>487.2</v>
      </c>
      <c r="I292" s="120"/>
    </row>
    <row r="293" spans="1:9" ht="15.6" x14ac:dyDescent="0.3">
      <c r="A293" s="59">
        <v>46177</v>
      </c>
      <c r="B293" s="54" t="s">
        <v>1147</v>
      </c>
      <c r="C293" s="55" t="s">
        <v>1143</v>
      </c>
      <c r="D293" s="73" t="s">
        <v>1104</v>
      </c>
      <c r="E293" s="199">
        <f t="shared" si="182"/>
        <v>210</v>
      </c>
      <c r="F293" s="194"/>
      <c r="G293" s="195">
        <f t="shared" si="183"/>
        <v>33.599999999999994</v>
      </c>
      <c r="H293" s="119">
        <v>243.6</v>
      </c>
      <c r="I293" s="120"/>
    </row>
    <row r="294" spans="1:9" ht="15.6" x14ac:dyDescent="0.3">
      <c r="A294" s="59">
        <v>46177</v>
      </c>
      <c r="B294" s="54" t="s">
        <v>1148</v>
      </c>
      <c r="C294" s="55" t="s">
        <v>1144</v>
      </c>
      <c r="D294" s="73" t="s">
        <v>1105</v>
      </c>
      <c r="E294" s="199">
        <v>750</v>
      </c>
      <c r="F294" s="217">
        <v>0</v>
      </c>
      <c r="G294" s="216">
        <v>0</v>
      </c>
      <c r="H294" s="119">
        <v>750</v>
      </c>
      <c r="I294" s="120"/>
    </row>
    <row r="295" spans="1:9" ht="15.6" x14ac:dyDescent="0.3">
      <c r="A295" s="59">
        <v>46177</v>
      </c>
      <c r="B295" s="54" t="s">
        <v>1149</v>
      </c>
      <c r="C295" s="55" t="s">
        <v>1145</v>
      </c>
      <c r="D295" s="73" t="s">
        <v>1106</v>
      </c>
      <c r="E295" s="199">
        <v>157.5</v>
      </c>
      <c r="F295" s="217">
        <v>0</v>
      </c>
      <c r="G295" s="216">
        <v>0</v>
      </c>
      <c r="H295" s="119">
        <v>157.5</v>
      </c>
      <c r="I295" s="120"/>
    </row>
    <row r="296" spans="1:9" ht="15.6" x14ac:dyDescent="0.3">
      <c r="A296" s="59">
        <v>46177</v>
      </c>
      <c r="B296" s="54" t="s">
        <v>1150</v>
      </c>
      <c r="C296" s="55" t="s">
        <v>1146</v>
      </c>
      <c r="D296" s="73" t="s">
        <v>1107</v>
      </c>
      <c r="E296" s="199">
        <f t="shared" si="182"/>
        <v>174.56034482758622</v>
      </c>
      <c r="F296" s="194"/>
      <c r="G296" s="195">
        <f t="shared" si="183"/>
        <v>27.929655172413788</v>
      </c>
      <c r="H296" s="119">
        <v>202.49</v>
      </c>
      <c r="I296" s="120"/>
    </row>
    <row r="297" spans="1:9" ht="15.6" x14ac:dyDescent="0.3">
      <c r="A297" s="59">
        <v>46179</v>
      </c>
      <c r="B297" s="54" t="s">
        <v>1174</v>
      </c>
      <c r="C297" s="55" t="s">
        <v>1176</v>
      </c>
      <c r="D297" s="73" t="s">
        <v>1155</v>
      </c>
      <c r="E297" s="199">
        <v>700</v>
      </c>
      <c r="F297" s="217">
        <v>0</v>
      </c>
      <c r="G297" s="216">
        <v>0</v>
      </c>
      <c r="H297" s="119">
        <v>700</v>
      </c>
      <c r="I297" s="120"/>
    </row>
    <row r="298" spans="1:9" ht="15.6" x14ac:dyDescent="0.3">
      <c r="A298" s="59">
        <v>46179</v>
      </c>
      <c r="B298" s="54" t="s">
        <v>1175</v>
      </c>
      <c r="C298" s="55" t="s">
        <v>1177</v>
      </c>
      <c r="D298" s="73" t="s">
        <v>1156</v>
      </c>
      <c r="E298" s="199">
        <v>400</v>
      </c>
      <c r="F298" s="217">
        <v>0</v>
      </c>
      <c r="G298" s="216">
        <v>0</v>
      </c>
      <c r="H298" s="119">
        <v>400</v>
      </c>
      <c r="I298" s="120"/>
    </row>
    <row r="299" spans="1:9" ht="15.6" x14ac:dyDescent="0.3">
      <c r="A299" s="59">
        <v>46179</v>
      </c>
      <c r="B299" s="54" t="s">
        <v>1178</v>
      </c>
      <c r="C299" s="55" t="s">
        <v>1179</v>
      </c>
      <c r="D299" s="73" t="s">
        <v>1157</v>
      </c>
      <c r="E299" s="199">
        <v>250</v>
      </c>
      <c r="F299" s="217">
        <v>0</v>
      </c>
      <c r="G299" s="216">
        <v>0</v>
      </c>
      <c r="H299" s="119">
        <v>250</v>
      </c>
      <c r="I299" s="120"/>
    </row>
    <row r="300" spans="1:9" ht="15.6" x14ac:dyDescent="0.3">
      <c r="A300" s="59">
        <v>46179</v>
      </c>
      <c r="B300" s="54" t="s">
        <v>1180</v>
      </c>
      <c r="C300" s="55" t="s">
        <v>1181</v>
      </c>
      <c r="D300" s="73" t="s">
        <v>1158</v>
      </c>
      <c r="E300" s="199">
        <f t="shared" ref="E300" si="188">+H300/1.16</f>
        <v>181.43965517241381</v>
      </c>
      <c r="F300" s="194"/>
      <c r="G300" s="195">
        <f t="shared" ref="G300" si="189">+H300-E300</f>
        <v>29.030344827586191</v>
      </c>
      <c r="H300" s="119">
        <v>210.47</v>
      </c>
      <c r="I300" s="120"/>
    </row>
    <row r="301" spans="1:9" ht="15.6" x14ac:dyDescent="0.3">
      <c r="A301" s="59">
        <v>46179</v>
      </c>
      <c r="B301" s="54" t="s">
        <v>1183</v>
      </c>
      <c r="C301" s="55" t="s">
        <v>1182</v>
      </c>
      <c r="D301" s="73" t="s">
        <v>1159</v>
      </c>
      <c r="E301" s="199">
        <f t="shared" ref="E301" si="190">+H301/1.16</f>
        <v>126</v>
      </c>
      <c r="F301" s="194"/>
      <c r="G301" s="195">
        <f t="shared" ref="G301" si="191">+H301-E301</f>
        <v>20.159999999999997</v>
      </c>
      <c r="H301" s="119">
        <v>146.16</v>
      </c>
      <c r="I301" s="120"/>
    </row>
    <row r="302" spans="1:9" ht="15.6" x14ac:dyDescent="0.3">
      <c r="A302" s="59">
        <v>46179</v>
      </c>
      <c r="B302" s="54" t="s">
        <v>1184</v>
      </c>
      <c r="C302" s="55" t="s">
        <v>1185</v>
      </c>
      <c r="D302" s="73" t="s">
        <v>1160</v>
      </c>
      <c r="E302" s="199">
        <f t="shared" ref="E302" si="192">+H302/1.16</f>
        <v>192.14655172413794</v>
      </c>
      <c r="F302" s="194"/>
      <c r="G302" s="195">
        <f t="shared" ref="G302" si="193">+H302-E302</f>
        <v>30.74344827586205</v>
      </c>
      <c r="H302" s="119">
        <v>222.89</v>
      </c>
      <c r="I302" s="120"/>
    </row>
    <row r="303" spans="1:9" ht="15.6" x14ac:dyDescent="0.3">
      <c r="A303" s="59">
        <v>46179</v>
      </c>
      <c r="B303" s="54" t="s">
        <v>1165</v>
      </c>
      <c r="C303" s="80" t="s">
        <v>1164</v>
      </c>
      <c r="D303" s="73" t="s">
        <v>1161</v>
      </c>
      <c r="E303" s="199">
        <f t="shared" ref="E303" si="194">+(H303+I303)/1.16</f>
        <v>435.00000000000006</v>
      </c>
      <c r="F303" s="141">
        <f t="shared" ref="F303" si="195">+I303-E303</f>
        <v>69.599999999999966</v>
      </c>
      <c r="G303" s="195"/>
      <c r="H303" s="119"/>
      <c r="I303" s="120">
        <v>504.6</v>
      </c>
    </row>
    <row r="304" spans="1:9" ht="15.6" x14ac:dyDescent="0.3">
      <c r="A304" s="59">
        <v>46179</v>
      </c>
      <c r="B304" s="54" t="s">
        <v>1167</v>
      </c>
      <c r="C304" s="80" t="s">
        <v>1166</v>
      </c>
      <c r="D304" s="73" t="s">
        <v>1162</v>
      </c>
      <c r="E304" s="199">
        <f t="shared" ref="E304" si="196">+(H304+I304)/1.16</f>
        <v>2182.5</v>
      </c>
      <c r="F304" s="141">
        <f t="shared" ref="F304" si="197">+I304-E304</f>
        <v>349.19999999999982</v>
      </c>
      <c r="G304" s="195"/>
      <c r="H304" s="119"/>
      <c r="I304" s="120">
        <v>2531.6999999999998</v>
      </c>
    </row>
    <row r="305" spans="1:9" ht="15.6" x14ac:dyDescent="0.3">
      <c r="A305" s="59">
        <v>46179</v>
      </c>
      <c r="B305" s="54" t="s">
        <v>884</v>
      </c>
      <c r="C305" s="80" t="s">
        <v>1168</v>
      </c>
      <c r="D305" s="73" t="s">
        <v>1163</v>
      </c>
      <c r="E305" s="199">
        <f t="shared" ref="E305:E337" si="198">+(H305+I305)/1.16</f>
        <v>1800.0000000000002</v>
      </c>
      <c r="F305" s="141">
        <f t="shared" ref="F305" si="199">+I305-E305</f>
        <v>287.99999999999977</v>
      </c>
      <c r="G305" s="195"/>
      <c r="H305" s="119"/>
      <c r="I305" s="120">
        <v>2088</v>
      </c>
    </row>
    <row r="306" spans="1:9" ht="15.6" x14ac:dyDescent="0.3">
      <c r="A306" s="51"/>
      <c r="B306" s="54"/>
      <c r="C306" s="54"/>
      <c r="D306" s="73"/>
      <c r="E306" s="199">
        <f t="shared" si="198"/>
        <v>0</v>
      </c>
      <c r="F306" s="194"/>
      <c r="G306" s="195"/>
      <c r="H306" s="119"/>
      <c r="I306" s="120"/>
    </row>
    <row r="307" spans="1:9" ht="15.6" x14ac:dyDescent="0.3">
      <c r="A307" s="51"/>
      <c r="B307" s="54"/>
      <c r="C307" s="54"/>
      <c r="D307" s="73"/>
      <c r="E307" s="199">
        <f t="shared" si="198"/>
        <v>0</v>
      </c>
      <c r="F307" s="194"/>
      <c r="G307" s="195"/>
      <c r="H307" s="119"/>
      <c r="I307" s="120"/>
    </row>
    <row r="308" spans="1:9" ht="15.6" x14ac:dyDescent="0.3">
      <c r="A308" s="51"/>
      <c r="B308" s="54"/>
      <c r="C308" s="54"/>
      <c r="D308" s="73"/>
      <c r="E308" s="199">
        <f t="shared" si="198"/>
        <v>0</v>
      </c>
      <c r="F308" s="194"/>
      <c r="G308" s="195"/>
      <c r="H308" s="119"/>
      <c r="I308" s="120"/>
    </row>
    <row r="309" spans="1:9" ht="15.6" x14ac:dyDescent="0.3">
      <c r="A309" s="51"/>
      <c r="B309" s="54"/>
      <c r="C309" s="54"/>
      <c r="D309" s="73"/>
      <c r="E309" s="199">
        <f t="shared" si="198"/>
        <v>0</v>
      </c>
      <c r="F309" s="194"/>
      <c r="G309" s="195"/>
      <c r="H309" s="119"/>
      <c r="I309" s="120"/>
    </row>
    <row r="310" spans="1:9" ht="15.6" x14ac:dyDescent="0.3">
      <c r="A310" s="51"/>
      <c r="B310" s="54"/>
      <c r="C310" s="54"/>
      <c r="D310" s="73"/>
      <c r="E310" s="199">
        <f t="shared" si="198"/>
        <v>0</v>
      </c>
      <c r="F310" s="194"/>
      <c r="G310" s="195"/>
      <c r="H310" s="119"/>
      <c r="I310" s="120"/>
    </row>
    <row r="311" spans="1:9" ht="15.6" x14ac:dyDescent="0.3">
      <c r="A311" s="51"/>
      <c r="B311" s="54"/>
      <c r="C311" s="54"/>
      <c r="D311" s="73"/>
      <c r="E311" s="199">
        <f t="shared" si="198"/>
        <v>0</v>
      </c>
      <c r="F311" s="194"/>
      <c r="G311" s="195"/>
      <c r="H311" s="119"/>
      <c r="I311" s="120"/>
    </row>
    <row r="312" spans="1:9" ht="15.6" x14ac:dyDescent="0.3">
      <c r="A312" s="51"/>
      <c r="B312" s="54"/>
      <c r="C312" s="54"/>
      <c r="D312" s="73"/>
      <c r="E312" s="199">
        <f t="shared" si="198"/>
        <v>0</v>
      </c>
      <c r="F312" s="194"/>
      <c r="G312" s="195"/>
      <c r="H312" s="119"/>
      <c r="I312" s="120"/>
    </row>
    <row r="313" spans="1:9" ht="15.6" x14ac:dyDescent="0.3">
      <c r="A313" s="51"/>
      <c r="B313" s="54"/>
      <c r="C313" s="54"/>
      <c r="D313" s="73"/>
      <c r="E313" s="199">
        <f t="shared" si="198"/>
        <v>0</v>
      </c>
      <c r="F313" s="194"/>
      <c r="G313" s="195"/>
      <c r="H313" s="119"/>
      <c r="I313" s="120"/>
    </row>
    <row r="314" spans="1:9" ht="15.6" x14ac:dyDescent="0.3">
      <c r="A314" s="51"/>
      <c r="B314" s="54"/>
      <c r="C314" s="54"/>
      <c r="D314" s="73"/>
      <c r="E314" s="199">
        <f t="shared" si="198"/>
        <v>0</v>
      </c>
      <c r="F314" s="194"/>
      <c r="G314" s="195"/>
      <c r="H314" s="119"/>
      <c r="I314" s="120"/>
    </row>
    <row r="315" spans="1:9" ht="15.6" x14ac:dyDescent="0.3">
      <c r="A315" s="51"/>
      <c r="B315" s="54"/>
      <c r="C315" s="54"/>
      <c r="D315" s="73"/>
      <c r="E315" s="199">
        <f t="shared" si="198"/>
        <v>0</v>
      </c>
      <c r="F315" s="194"/>
      <c r="G315" s="195"/>
      <c r="H315" s="119"/>
      <c r="I315" s="120"/>
    </row>
    <row r="316" spans="1:9" ht="15.6" x14ac:dyDescent="0.3">
      <c r="A316" s="51"/>
      <c r="B316" s="54"/>
      <c r="C316" s="54"/>
      <c r="D316" s="73"/>
      <c r="E316" s="199">
        <f t="shared" si="198"/>
        <v>0</v>
      </c>
      <c r="F316" s="194"/>
      <c r="G316" s="195"/>
      <c r="H316" s="119"/>
      <c r="I316" s="120"/>
    </row>
    <row r="317" spans="1:9" ht="15.6" x14ac:dyDescent="0.3">
      <c r="A317" s="51"/>
      <c r="B317" s="54"/>
      <c r="C317" s="54"/>
      <c r="D317" s="73"/>
      <c r="E317" s="199">
        <f t="shared" si="198"/>
        <v>0</v>
      </c>
      <c r="F317" s="194"/>
      <c r="G317" s="195"/>
      <c r="H317" s="119"/>
      <c r="I317" s="120"/>
    </row>
    <row r="318" spans="1:9" ht="15.6" x14ac:dyDescent="0.3">
      <c r="A318" s="51"/>
      <c r="B318" s="54"/>
      <c r="C318" s="54"/>
      <c r="D318" s="73"/>
      <c r="E318" s="199">
        <f t="shared" si="198"/>
        <v>0</v>
      </c>
      <c r="F318" s="194"/>
      <c r="G318" s="195"/>
      <c r="H318" s="119"/>
      <c r="I318" s="120"/>
    </row>
    <row r="319" spans="1:9" ht="15.6" x14ac:dyDescent="0.3">
      <c r="A319" s="51"/>
      <c r="B319" s="54"/>
      <c r="C319" s="54"/>
      <c r="D319" s="73"/>
      <c r="E319" s="199">
        <f t="shared" si="198"/>
        <v>0</v>
      </c>
      <c r="F319" s="194"/>
      <c r="G319" s="195"/>
      <c r="H319" s="119"/>
      <c r="I319" s="120"/>
    </row>
    <row r="320" spans="1:9" ht="15.6" x14ac:dyDescent="0.3">
      <c r="A320" s="51"/>
      <c r="B320" s="54"/>
      <c r="C320" s="54"/>
      <c r="D320" s="73"/>
      <c r="E320" s="199">
        <f t="shared" si="198"/>
        <v>0</v>
      </c>
      <c r="F320" s="194"/>
      <c r="G320" s="195"/>
      <c r="H320" s="119"/>
      <c r="I320" s="120"/>
    </row>
    <row r="321" spans="1:9" ht="15.6" x14ac:dyDescent="0.3">
      <c r="A321" s="51"/>
      <c r="B321" s="54"/>
      <c r="C321" s="54"/>
      <c r="D321" s="73"/>
      <c r="E321" s="199">
        <f t="shared" si="198"/>
        <v>0</v>
      </c>
      <c r="F321" s="194"/>
      <c r="G321" s="195"/>
      <c r="H321" s="119"/>
      <c r="I321" s="120"/>
    </row>
    <row r="322" spans="1:9" ht="15.6" x14ac:dyDescent="0.3">
      <c r="A322" s="51"/>
      <c r="B322" s="54"/>
      <c r="C322" s="54"/>
      <c r="D322" s="73"/>
      <c r="E322" s="199">
        <f t="shared" si="198"/>
        <v>0</v>
      </c>
      <c r="F322" s="194"/>
      <c r="G322" s="195"/>
      <c r="H322" s="119"/>
      <c r="I322" s="120"/>
    </row>
    <row r="323" spans="1:9" ht="15.6" x14ac:dyDescent="0.3">
      <c r="A323" s="51"/>
      <c r="B323" s="54"/>
      <c r="C323" s="54"/>
      <c r="D323" s="73"/>
      <c r="E323" s="199">
        <f t="shared" si="198"/>
        <v>0</v>
      </c>
      <c r="F323" s="194"/>
      <c r="G323" s="195"/>
      <c r="H323" s="119"/>
      <c r="I323" s="120"/>
    </row>
    <row r="324" spans="1:9" ht="15.6" x14ac:dyDescent="0.3">
      <c r="A324" s="51"/>
      <c r="B324" s="54"/>
      <c r="C324" s="54"/>
      <c r="D324" s="73"/>
      <c r="E324" s="199">
        <f t="shared" si="198"/>
        <v>0</v>
      </c>
      <c r="F324" s="194"/>
      <c r="G324" s="195"/>
      <c r="H324" s="119"/>
      <c r="I324" s="120"/>
    </row>
    <row r="325" spans="1:9" ht="15.6" x14ac:dyDescent="0.3">
      <c r="A325" s="51"/>
      <c r="B325" s="54"/>
      <c r="C325" s="54"/>
      <c r="D325" s="73"/>
      <c r="E325" s="199">
        <f t="shared" si="198"/>
        <v>0</v>
      </c>
      <c r="F325" s="194"/>
      <c r="G325" s="195"/>
      <c r="H325" s="119"/>
      <c r="I325" s="120"/>
    </row>
    <row r="326" spans="1:9" ht="15.6" x14ac:dyDescent="0.3">
      <c r="A326" s="51"/>
      <c r="B326" s="54"/>
      <c r="C326" s="54"/>
      <c r="D326" s="73"/>
      <c r="E326" s="199">
        <f t="shared" si="198"/>
        <v>0</v>
      </c>
      <c r="F326" s="194"/>
      <c r="G326" s="195"/>
      <c r="H326" s="119"/>
      <c r="I326" s="120"/>
    </row>
    <row r="327" spans="1:9" ht="15.6" x14ac:dyDescent="0.3">
      <c r="A327" s="51"/>
      <c r="B327" s="54"/>
      <c r="C327" s="54"/>
      <c r="D327" s="73"/>
      <c r="E327" s="199">
        <f t="shared" si="198"/>
        <v>0</v>
      </c>
      <c r="F327" s="194"/>
      <c r="G327" s="195"/>
      <c r="H327" s="119"/>
      <c r="I327" s="120"/>
    </row>
    <row r="328" spans="1:9" ht="15.6" x14ac:dyDescent="0.3">
      <c r="A328" s="51"/>
      <c r="B328" s="54"/>
      <c r="C328" s="54"/>
      <c r="D328" s="73"/>
      <c r="E328" s="199">
        <f t="shared" si="198"/>
        <v>0</v>
      </c>
      <c r="F328" s="194"/>
      <c r="G328" s="195"/>
      <c r="H328" s="119"/>
      <c r="I328" s="120"/>
    </row>
    <row r="329" spans="1:9" ht="15.6" x14ac:dyDescent="0.3">
      <c r="A329" s="51"/>
      <c r="B329" s="54"/>
      <c r="C329" s="54"/>
      <c r="D329" s="73"/>
      <c r="E329" s="199">
        <f t="shared" si="198"/>
        <v>0</v>
      </c>
      <c r="F329" s="194"/>
      <c r="G329" s="195"/>
      <c r="H329" s="119"/>
      <c r="I329" s="120"/>
    </row>
    <row r="330" spans="1:9" ht="15.6" x14ac:dyDescent="0.3">
      <c r="A330" s="51"/>
      <c r="B330" s="54"/>
      <c r="C330" s="54"/>
      <c r="D330" s="73"/>
      <c r="E330" s="199">
        <f t="shared" si="198"/>
        <v>0</v>
      </c>
      <c r="F330" s="194"/>
      <c r="G330" s="195"/>
      <c r="H330" s="119"/>
      <c r="I330" s="120"/>
    </row>
    <row r="331" spans="1:9" ht="15.6" x14ac:dyDescent="0.3">
      <c r="A331" s="51"/>
      <c r="B331" s="54"/>
      <c r="C331" s="54"/>
      <c r="D331" s="73"/>
      <c r="E331" s="199">
        <f t="shared" si="198"/>
        <v>0</v>
      </c>
      <c r="F331" s="194"/>
      <c r="G331" s="195"/>
      <c r="H331" s="119"/>
      <c r="I331" s="120"/>
    </row>
    <row r="332" spans="1:9" ht="15.6" x14ac:dyDescent="0.3">
      <c r="A332" s="51"/>
      <c r="B332" s="54"/>
      <c r="C332" s="54"/>
      <c r="D332" s="73"/>
      <c r="E332" s="199">
        <f t="shared" si="198"/>
        <v>0</v>
      </c>
      <c r="F332" s="194"/>
      <c r="G332" s="195"/>
      <c r="H332" s="119"/>
      <c r="I332" s="120"/>
    </row>
    <row r="333" spans="1:9" ht="15.6" x14ac:dyDescent="0.3">
      <c r="A333" s="51"/>
      <c r="B333" s="54"/>
      <c r="C333" s="54"/>
      <c r="D333" s="73"/>
      <c r="E333" s="199">
        <f t="shared" si="198"/>
        <v>0</v>
      </c>
      <c r="F333" s="194"/>
      <c r="G333" s="195"/>
      <c r="H333" s="119"/>
      <c r="I333" s="120"/>
    </row>
    <row r="334" spans="1:9" ht="15.6" x14ac:dyDescent="0.3">
      <c r="A334" s="51"/>
      <c r="B334" s="54"/>
      <c r="C334" s="54"/>
      <c r="D334" s="73"/>
      <c r="E334" s="199">
        <f t="shared" si="198"/>
        <v>0</v>
      </c>
      <c r="F334" s="194"/>
      <c r="G334" s="195"/>
      <c r="H334" s="119"/>
      <c r="I334" s="120"/>
    </row>
    <row r="335" spans="1:9" ht="15.6" x14ac:dyDescent="0.3">
      <c r="A335" s="51"/>
      <c r="B335" s="54"/>
      <c r="C335" s="54"/>
      <c r="D335" s="76"/>
      <c r="E335" s="199">
        <f t="shared" si="198"/>
        <v>0</v>
      </c>
      <c r="F335" s="194"/>
      <c r="G335" s="195"/>
      <c r="H335" s="119"/>
      <c r="I335" s="120"/>
    </row>
    <row r="336" spans="1:9" ht="15.6" x14ac:dyDescent="0.3">
      <c r="A336" s="51"/>
      <c r="B336" s="54"/>
      <c r="C336" s="54"/>
      <c r="D336" s="76"/>
      <c r="E336" s="199">
        <f t="shared" si="198"/>
        <v>0</v>
      </c>
      <c r="F336" s="194"/>
      <c r="G336" s="195"/>
      <c r="H336" s="119"/>
      <c r="I336" s="120"/>
    </row>
    <row r="337" spans="1:9" ht="15.6" x14ac:dyDescent="0.3">
      <c r="A337" s="51"/>
      <c r="B337" s="54"/>
      <c r="C337" s="54"/>
      <c r="D337" s="76"/>
      <c r="E337" s="199">
        <f t="shared" si="198"/>
        <v>0</v>
      </c>
      <c r="F337" s="194"/>
      <c r="G337" s="195"/>
      <c r="H337" s="119"/>
      <c r="I337" s="120"/>
    </row>
    <row r="338" spans="1:9" ht="15.6" x14ac:dyDescent="0.3">
      <c r="A338" s="51"/>
      <c r="B338" s="56"/>
      <c r="C338" s="60"/>
      <c r="D338" s="77"/>
      <c r="E338" s="199">
        <f t="shared" ref="E338" si="200">+H338/1.16</f>
        <v>0</v>
      </c>
      <c r="F338" s="194"/>
      <c r="G338" s="195">
        <f t="shared" ref="G338" si="201">+H338-E338</f>
        <v>0</v>
      </c>
      <c r="H338" s="119"/>
      <c r="I338" s="120"/>
    </row>
    <row r="339" spans="1:9" ht="18" x14ac:dyDescent="0.35">
      <c r="A339" s="51"/>
      <c r="B339" s="70"/>
      <c r="C339" s="47"/>
      <c r="D339" s="75"/>
      <c r="E339" s="193">
        <f>SUM(E338:E338)</f>
        <v>0</v>
      </c>
      <c r="F339" s="192"/>
      <c r="G339" s="197">
        <f>SUM(G338:G338)</f>
        <v>0</v>
      </c>
      <c r="H339" s="117">
        <f>SUM(H338:H338)</f>
        <v>0</v>
      </c>
      <c r="I339" s="118"/>
    </row>
    <row r="340" spans="1:9" ht="15.6" x14ac:dyDescent="0.3">
      <c r="A340" s="51"/>
      <c r="B340" s="57"/>
      <c r="C340" s="55"/>
      <c r="D340" s="78"/>
      <c r="E340" s="199">
        <f t="shared" ref="E340" si="202">+H340/1.16</f>
        <v>0</v>
      </c>
      <c r="F340" s="194"/>
      <c r="G340" s="195">
        <f t="shared" ref="G340" si="203">+H340-E340</f>
        <v>0</v>
      </c>
      <c r="H340" s="121"/>
      <c r="I340" s="122"/>
    </row>
    <row r="341" spans="1:9" ht="15.6" x14ac:dyDescent="0.3">
      <c r="A341" s="59"/>
      <c r="B341" s="56"/>
      <c r="C341" s="60"/>
      <c r="D341" s="77"/>
      <c r="E341" s="199">
        <f t="shared" ref="E341" si="204">+H341/1.16</f>
        <v>0</v>
      </c>
      <c r="F341" s="194"/>
      <c r="G341" s="195">
        <f t="shared" ref="G341" si="205">+H341-E341</f>
        <v>0</v>
      </c>
      <c r="H341" s="119"/>
      <c r="I341" s="120"/>
    </row>
    <row r="342" spans="1:9" ht="18" x14ac:dyDescent="0.35">
      <c r="A342" s="51"/>
      <c r="B342" s="70"/>
      <c r="C342" s="47"/>
      <c r="D342" s="75"/>
      <c r="E342" s="193">
        <f>SUM(E341:E341)</f>
        <v>0</v>
      </c>
      <c r="F342" s="192"/>
      <c r="G342" s="197">
        <f>SUM(G341:G341)</f>
        <v>0</v>
      </c>
      <c r="H342" s="117">
        <f>SUM(H341:H341)</f>
        <v>0</v>
      </c>
      <c r="I342" s="118"/>
    </row>
    <row r="343" spans="1:9" ht="15.6" x14ac:dyDescent="0.3">
      <c r="A343" s="51"/>
      <c r="B343" s="57"/>
      <c r="C343" s="54"/>
      <c r="D343" s="76"/>
      <c r="E343" s="199">
        <f t="shared" ref="E343" si="206">+H343/1.16</f>
        <v>0</v>
      </c>
      <c r="F343" s="194"/>
      <c r="G343" s="195">
        <f t="shared" ref="G343" si="207">+H343-E343</f>
        <v>0</v>
      </c>
      <c r="H343" s="121"/>
      <c r="I343" s="122"/>
    </row>
    <row r="344" spans="1:9" ht="15.6" x14ac:dyDescent="0.3">
      <c r="A344" s="51"/>
      <c r="B344" s="56"/>
      <c r="C344" s="56"/>
      <c r="D344" s="79"/>
      <c r="E344" s="199">
        <f t="shared" ref="E344" si="208">+H344/1.16</f>
        <v>0</v>
      </c>
      <c r="F344" s="194"/>
      <c r="G344" s="195">
        <f t="shared" ref="G344" si="209">+H344-E344</f>
        <v>0</v>
      </c>
      <c r="H344" s="119"/>
      <c r="I344" s="120"/>
    </row>
    <row r="345" spans="1:9" ht="18" x14ac:dyDescent="0.35">
      <c r="A345" s="51"/>
      <c r="B345" s="70"/>
      <c r="C345" s="47"/>
      <c r="D345" s="75"/>
      <c r="E345" s="193">
        <f>SUM(E344:E344)</f>
        <v>0</v>
      </c>
      <c r="F345" s="192"/>
      <c r="G345" s="197">
        <f>SUM(G344:G344)</f>
        <v>0</v>
      </c>
      <c r="H345" s="117">
        <f>SUM(H344:H344)</f>
        <v>0</v>
      </c>
      <c r="I345" s="118"/>
    </row>
    <row r="346" spans="1:9" ht="15.6" x14ac:dyDescent="0.3">
      <c r="A346" s="51"/>
      <c r="B346" s="56"/>
      <c r="C346" s="54"/>
      <c r="D346" s="76"/>
      <c r="E346" s="199">
        <f t="shared" ref="E346" si="210">+H346/1.16</f>
        <v>0</v>
      </c>
      <c r="F346" s="194"/>
      <c r="G346" s="195">
        <f t="shared" ref="G346" si="211">+H346-E346</f>
        <v>0</v>
      </c>
      <c r="H346" s="119"/>
      <c r="I346" s="120"/>
    </row>
    <row r="347" spans="1:9" ht="15.6" x14ac:dyDescent="0.3">
      <c r="A347" s="51"/>
      <c r="B347" s="56"/>
      <c r="C347" s="60"/>
      <c r="D347" s="77"/>
      <c r="E347" s="199">
        <f t="shared" ref="E347" si="212">+H347/1.16</f>
        <v>0</v>
      </c>
      <c r="F347" s="194"/>
      <c r="G347" s="195">
        <f t="shared" ref="G347" si="213">+H347-E347</f>
        <v>0</v>
      </c>
      <c r="H347" s="119"/>
      <c r="I347" s="120"/>
    </row>
    <row r="348" spans="1:9" ht="18" x14ac:dyDescent="0.35">
      <c r="A348" s="51"/>
      <c r="B348" s="70"/>
      <c r="C348" s="47"/>
      <c r="D348" s="75"/>
      <c r="E348" s="193">
        <f>SUM(E347:E347)</f>
        <v>0</v>
      </c>
      <c r="F348" s="192"/>
      <c r="G348" s="197">
        <f>SUM(G347:G347)</f>
        <v>0</v>
      </c>
      <c r="H348" s="117">
        <f>SUM(H347:H347)</f>
        <v>0</v>
      </c>
      <c r="I348" s="118"/>
    </row>
    <row r="349" spans="1:9" ht="15.6" x14ac:dyDescent="0.3">
      <c r="A349" s="51"/>
      <c r="B349" s="57"/>
      <c r="C349" s="54"/>
      <c r="D349" s="76"/>
      <c r="E349" s="199">
        <f t="shared" ref="E349" si="214">+H349/1.16</f>
        <v>0</v>
      </c>
      <c r="F349" s="194"/>
      <c r="G349" s="195">
        <f t="shared" ref="G349" si="215">+H349-E349</f>
        <v>0</v>
      </c>
      <c r="H349" s="121"/>
      <c r="I349" s="122"/>
    </row>
    <row r="350" spans="1:9" ht="15.6" x14ac:dyDescent="0.3">
      <c r="A350" s="59"/>
      <c r="B350" s="52"/>
      <c r="C350" s="60"/>
      <c r="D350" s="77"/>
      <c r="E350" s="199">
        <f t="shared" ref="E350" si="216">+H350/1.16</f>
        <v>0</v>
      </c>
      <c r="F350" s="194"/>
      <c r="G350" s="195">
        <f t="shared" ref="G350" si="217">+H350-E350</f>
        <v>0</v>
      </c>
      <c r="H350" s="119"/>
      <c r="I350" s="120"/>
    </row>
    <row r="351" spans="1:9" ht="18" x14ac:dyDescent="0.35">
      <c r="A351" s="51"/>
      <c r="B351" s="70"/>
      <c r="C351" s="47"/>
      <c r="D351" s="75"/>
      <c r="E351" s="193">
        <f>SUM(E350:E350)</f>
        <v>0</v>
      </c>
      <c r="F351" s="192"/>
      <c r="G351" s="197">
        <f>SUM(G350:G350)</f>
        <v>0</v>
      </c>
      <c r="H351" s="117">
        <f>SUM(H350:H350)</f>
        <v>0</v>
      </c>
      <c r="I351" s="118"/>
    </row>
    <row r="352" spans="1:9" ht="15.6" x14ac:dyDescent="0.3">
      <c r="A352" s="51"/>
      <c r="B352" s="52"/>
      <c r="C352" s="54"/>
      <c r="D352" s="76"/>
      <c r="E352" s="199">
        <f t="shared" ref="E352:E353" si="218">+H352/1.16</f>
        <v>0</v>
      </c>
      <c r="F352" s="194"/>
      <c r="G352" s="195">
        <f t="shared" ref="G352:G353" si="219">+H352-E352</f>
        <v>0</v>
      </c>
      <c r="H352" s="119"/>
      <c r="I352" s="120"/>
    </row>
    <row r="353" spans="1:9" ht="15.6" x14ac:dyDescent="0.3">
      <c r="A353" s="51"/>
      <c r="B353" s="52"/>
      <c r="C353" s="54"/>
      <c r="D353" s="76"/>
      <c r="E353" s="199">
        <f t="shared" si="218"/>
        <v>0</v>
      </c>
      <c r="F353" s="194"/>
      <c r="G353" s="195">
        <f t="shared" si="219"/>
        <v>0</v>
      </c>
      <c r="H353" s="119"/>
      <c r="I353" s="120"/>
    </row>
    <row r="354" spans="1:9" ht="18" x14ac:dyDescent="0.35">
      <c r="A354" s="51"/>
      <c r="B354" s="70"/>
      <c r="C354" s="47"/>
      <c r="D354" s="75"/>
      <c r="E354" s="193">
        <f>SUM(E352:E353)</f>
        <v>0</v>
      </c>
      <c r="F354" s="192"/>
      <c r="G354" s="197">
        <f>SUM(G352:G353)</f>
        <v>0</v>
      </c>
      <c r="H354" s="117">
        <f>SUM(H352:H353)</f>
        <v>0</v>
      </c>
      <c r="I354" s="118"/>
    </row>
    <row r="355" spans="1:9" ht="15.6" x14ac:dyDescent="0.3">
      <c r="A355" s="51"/>
      <c r="B355" s="52"/>
      <c r="C355" s="54"/>
      <c r="D355" s="76"/>
      <c r="E355" s="199">
        <f t="shared" ref="E355:E356" si="220">+H355/1.16</f>
        <v>0</v>
      </c>
      <c r="F355" s="194"/>
      <c r="G355" s="195">
        <f t="shared" ref="G355" si="221">+H355-E355</f>
        <v>0</v>
      </c>
      <c r="H355" s="119"/>
      <c r="I355" s="120"/>
    </row>
    <row r="356" spans="1:9" ht="15.6" x14ac:dyDescent="0.3">
      <c r="A356" s="61"/>
      <c r="B356" s="52"/>
      <c r="C356" s="54"/>
      <c r="D356" s="76"/>
      <c r="E356" s="199">
        <f t="shared" si="220"/>
        <v>0</v>
      </c>
      <c r="F356" s="194"/>
      <c r="G356" s="195">
        <f t="shared" ref="G356" si="222">+H356-E356</f>
        <v>0</v>
      </c>
      <c r="H356" s="119"/>
      <c r="I356" s="120"/>
    </row>
    <row r="357" spans="1:9" ht="18" x14ac:dyDescent="0.35">
      <c r="A357" s="11"/>
      <c r="B357" s="70"/>
      <c r="C357" s="47"/>
      <c r="D357" s="75"/>
      <c r="E357" s="193">
        <f>SUM(E356:E356)</f>
        <v>0</v>
      </c>
      <c r="F357" s="192"/>
      <c r="G357" s="197">
        <f>SUM(G356:G356)</f>
        <v>0</v>
      </c>
      <c r="H357" s="117">
        <f>SUM(H356:H356)</f>
        <v>0</v>
      </c>
      <c r="I357" s="118"/>
    </row>
    <row r="358" spans="1:9" ht="16.2" thickBot="1" x14ac:dyDescent="0.35">
      <c r="A358" s="205"/>
      <c r="B358" s="206"/>
      <c r="C358" s="206"/>
      <c r="D358" s="207"/>
      <c r="E358" s="203"/>
      <c r="F358" s="201"/>
      <c r="G358" s="202"/>
      <c r="H358" s="123"/>
      <c r="I358" s="124"/>
    </row>
    <row r="359" spans="1:9" ht="16.2" thickBot="1" x14ac:dyDescent="0.35">
      <c r="A359" s="190"/>
      <c r="B359" s="208"/>
      <c r="C359" s="208"/>
      <c r="D359" s="209"/>
      <c r="E359" s="204">
        <f>+E357+E354+E351+E348+E345+E342+E339+E279+E235+E191+E114+E53</f>
        <v>554891.33896551724</v>
      </c>
      <c r="F359" s="458">
        <f>+F357+F354+F351+F348+F345+F342+F339+F279+F235+F191+F114+F53</f>
        <v>62610.085517241365</v>
      </c>
      <c r="G359" s="459">
        <f>+G357+G354+G351+G348+G345+G342+G339+G279+G235+G191+G114+G53</f>
        <v>14638.882758620683</v>
      </c>
      <c r="H359" s="125">
        <f>+H357+H354+H351+H348+H345+H342+H339+H279+H235+H191+H114+H53</f>
        <v>127066.67000000001</v>
      </c>
      <c r="I359" s="222">
        <f t="shared" ref="I359" si="223">I357+I354+I351+I348+I345+I342+I339+I279+I235+I191+I114+I53</f>
        <v>505108.11999999994</v>
      </c>
    </row>
    <row r="360" spans="1:9" x14ac:dyDescent="0.3">
      <c r="E360" s="200"/>
    </row>
    <row r="361" spans="1:9" x14ac:dyDescent="0.3">
      <c r="E361" s="200"/>
    </row>
    <row r="362" spans="1:9" x14ac:dyDescent="0.3">
      <c r="E362" s="200"/>
    </row>
    <row r="363" spans="1:9" x14ac:dyDescent="0.3">
      <c r="E363" s="200"/>
    </row>
    <row r="364" spans="1:9" x14ac:dyDescent="0.3">
      <c r="E364" s="200"/>
    </row>
    <row r="365" spans="1:9" x14ac:dyDescent="0.3">
      <c r="E365" s="200"/>
    </row>
    <row r="366" spans="1:9" x14ac:dyDescent="0.3">
      <c r="E366" s="200"/>
    </row>
    <row r="367" spans="1:9" x14ac:dyDescent="0.3">
      <c r="E367" s="200"/>
    </row>
    <row r="368" spans="1:9" x14ac:dyDescent="0.3">
      <c r="E368" s="200"/>
    </row>
    <row r="369" spans="5:5" x14ac:dyDescent="0.3">
      <c r="E369" s="200"/>
    </row>
    <row r="370" spans="5:5" x14ac:dyDescent="0.3">
      <c r="E370" s="200"/>
    </row>
    <row r="371" spans="5:5" x14ac:dyDescent="0.3">
      <c r="E371" s="200"/>
    </row>
    <row r="372" spans="5:5" x14ac:dyDescent="0.3">
      <c r="E372" s="200"/>
    </row>
    <row r="373" spans="5:5" x14ac:dyDescent="0.3">
      <c r="E373" s="200"/>
    </row>
    <row r="374" spans="5:5" x14ac:dyDescent="0.3">
      <c r="E374" s="200"/>
    </row>
    <row r="375" spans="5:5" x14ac:dyDescent="0.3">
      <c r="E375" s="200"/>
    </row>
    <row r="376" spans="5:5" x14ac:dyDescent="0.3">
      <c r="E376" s="200"/>
    </row>
  </sheetData>
  <pageMargins left="0.2" right="0.19" top="0.75" bottom="0.75" header="0.3" footer="0.3"/>
  <pageSetup paperSize="9" orientation="portrait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G263"/>
  <sheetViews>
    <sheetView workbookViewId="0">
      <pane xSplit="4" ySplit="5" topLeftCell="F10" activePane="bottomRight" state="frozen"/>
      <selection pane="topRight" activeCell="E1" sqref="E1"/>
      <selection pane="bottomLeft" activeCell="A6" sqref="A6"/>
      <selection pane="bottomRight" activeCell="J42" sqref="J42"/>
    </sheetView>
  </sheetViews>
  <sheetFormatPr baseColWidth="10" defaultRowHeight="14.4" x14ac:dyDescent="0.3"/>
  <cols>
    <col min="1" max="1" width="9.33203125" style="10" customWidth="1"/>
    <col min="2" max="2" width="78.6640625" style="10" bestFit="1" customWidth="1"/>
    <col min="3" max="3" width="14.33203125" style="10" bestFit="1" customWidth="1"/>
    <col min="4" max="4" width="12.109375" style="143" bestFit="1" customWidth="1"/>
    <col min="5" max="5" width="11.33203125" style="10" customWidth="1"/>
    <col min="6" max="6" width="9.6640625" style="144" bestFit="1" customWidth="1"/>
    <col min="7" max="7" width="10" style="144" bestFit="1" customWidth="1"/>
    <col min="8" max="8" width="9.5546875" style="144" bestFit="1" customWidth="1"/>
    <col min="9" max="9" width="11.88671875" style="10" customWidth="1"/>
    <col min="10" max="10" width="14.44140625" style="10" bestFit="1" customWidth="1"/>
    <col min="11" max="11" width="12.33203125" style="10" customWidth="1"/>
    <col min="12" max="12" width="1.44140625" style="10" customWidth="1"/>
    <col min="13" max="13" width="19" style="10" bestFit="1" customWidth="1"/>
    <col min="14" max="14" width="18.88671875" style="10" bestFit="1" customWidth="1"/>
    <col min="15" max="15" width="11.5546875" style="10"/>
    <col min="16" max="16" width="19.5546875" style="10" bestFit="1" customWidth="1"/>
    <col min="17" max="17" width="21.33203125" style="10" bestFit="1" customWidth="1"/>
    <col min="18" max="18" width="13.6640625" style="10" bestFit="1" customWidth="1"/>
    <col min="19" max="19" width="14.33203125" style="10" bestFit="1" customWidth="1"/>
    <col min="20" max="22" width="11.5546875" style="10"/>
    <col min="23" max="23" width="21.88671875" style="10" bestFit="1" customWidth="1"/>
    <col min="24" max="24" width="11.5546875" style="10"/>
    <col min="25" max="25" width="20.6640625" style="10" bestFit="1" customWidth="1"/>
    <col min="26" max="26" width="11.5546875" style="10"/>
    <col min="27" max="27" width="12.5546875" style="10" bestFit="1" customWidth="1"/>
    <col min="28" max="28" width="11.5546875" style="10"/>
    <col min="29" max="29" width="14.109375" style="10" bestFit="1" customWidth="1"/>
    <col min="30" max="30" width="26.44140625" style="10" bestFit="1" customWidth="1"/>
    <col min="31" max="31" width="10" style="10" bestFit="1" customWidth="1"/>
    <col min="32" max="32" width="10.33203125" style="10" bestFit="1" customWidth="1"/>
    <col min="33" max="33" width="10.33203125" style="10" customWidth="1"/>
    <col min="34" max="34" width="11" style="10" bestFit="1" customWidth="1"/>
    <col min="35" max="36" width="11.5546875" style="10"/>
    <col min="37" max="37" width="15.44140625" style="10" bestFit="1" customWidth="1"/>
    <col min="38" max="44" width="11.5546875" style="10"/>
    <col min="45" max="45" width="17.5546875" style="10" bestFit="1" customWidth="1"/>
    <col min="46" max="46" width="11.44140625" style="10" bestFit="1" customWidth="1"/>
    <col min="47" max="47" width="14" style="10" bestFit="1" customWidth="1"/>
    <col min="48" max="48" width="9" style="10" bestFit="1" customWidth="1"/>
    <col min="49" max="49" width="12.6640625" style="10" bestFit="1" customWidth="1"/>
    <col min="50" max="50" width="12.6640625" style="10" customWidth="1"/>
    <col min="51" max="51" width="14.6640625" style="10" bestFit="1" customWidth="1"/>
    <col min="52" max="52" width="14.6640625" style="10" customWidth="1"/>
    <col min="53" max="53" width="15.5546875" style="10" bestFit="1" customWidth="1"/>
    <col min="54" max="54" width="8" style="10" bestFit="1" customWidth="1"/>
    <col min="55" max="55" width="18.5546875" style="10" bestFit="1" customWidth="1"/>
    <col min="56" max="56" width="11.6640625" style="10" bestFit="1" customWidth="1"/>
    <col min="57" max="57" width="17.109375" style="10" bestFit="1" customWidth="1"/>
    <col min="58" max="58" width="12.6640625" style="10" customWidth="1"/>
    <col min="59" max="16384" width="11.5546875" style="10"/>
  </cols>
  <sheetData>
    <row r="1" spans="1:59" x14ac:dyDescent="0.3">
      <c r="A1" s="9" t="s">
        <v>26</v>
      </c>
    </row>
    <row r="2" spans="1:59" ht="20.399999999999999" x14ac:dyDescent="0.35">
      <c r="A2" s="72" t="s">
        <v>192</v>
      </c>
    </row>
    <row r="4" spans="1:59" ht="15.6" x14ac:dyDescent="0.3">
      <c r="A4" s="145" t="s">
        <v>28</v>
      </c>
      <c r="B4" s="146" t="s">
        <v>21</v>
      </c>
      <c r="C4" s="147" t="s">
        <v>182</v>
      </c>
      <c r="D4" s="148" t="s">
        <v>1</v>
      </c>
      <c r="E4" s="149" t="s">
        <v>17</v>
      </c>
      <c r="F4" s="150"/>
      <c r="G4" s="151" t="s">
        <v>4</v>
      </c>
      <c r="H4" s="152"/>
      <c r="I4" s="580" t="s">
        <v>19</v>
      </c>
      <c r="J4" s="582" t="s">
        <v>183</v>
      </c>
      <c r="K4" s="584" t="s">
        <v>27</v>
      </c>
      <c r="L4" s="62"/>
      <c r="M4" s="11"/>
      <c r="N4" s="11"/>
      <c r="O4" s="11"/>
      <c r="P4" s="50"/>
      <c r="Q4" s="50"/>
      <c r="R4" s="50"/>
      <c r="S4" s="50"/>
      <c r="T4" s="66"/>
      <c r="U4" s="66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61"/>
      <c r="AJ4" s="61"/>
      <c r="AK4" s="11"/>
      <c r="AL4" s="61"/>
      <c r="AM4" s="1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11"/>
    </row>
    <row r="5" spans="1:59" ht="15.6" x14ac:dyDescent="0.3">
      <c r="A5" s="153"/>
      <c r="B5" s="146"/>
      <c r="C5" s="147"/>
      <c r="D5" s="148"/>
      <c r="E5" s="149"/>
      <c r="F5" s="154" t="s">
        <v>24</v>
      </c>
      <c r="G5" s="155" t="s">
        <v>22</v>
      </c>
      <c r="H5" s="155" t="s">
        <v>23</v>
      </c>
      <c r="I5" s="581"/>
      <c r="J5" s="583"/>
      <c r="K5" s="585"/>
      <c r="L5" s="6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x14ac:dyDescent="0.3">
      <c r="A6" s="11"/>
      <c r="B6" s="12"/>
      <c r="C6" s="156"/>
      <c r="D6" s="157"/>
      <c r="E6" s="11"/>
      <c r="F6" s="158"/>
      <c r="G6" s="158"/>
      <c r="H6" s="158"/>
      <c r="I6" s="159"/>
      <c r="J6" s="160"/>
      <c r="K6" s="49"/>
      <c r="L6" s="62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x14ac:dyDescent="0.3">
      <c r="A7" s="161">
        <v>46018</v>
      </c>
      <c r="B7" s="11" t="s">
        <v>265</v>
      </c>
      <c r="C7" s="230" t="s">
        <v>224</v>
      </c>
      <c r="D7" s="231">
        <f>+I7-E7</f>
        <v>0</v>
      </c>
      <c r="E7" s="232"/>
      <c r="F7" s="233"/>
      <c r="G7" s="233"/>
      <c r="H7" s="234"/>
      <c r="I7" s="235">
        <v>0</v>
      </c>
      <c r="J7" s="236"/>
      <c r="K7" s="237">
        <f t="shared" ref="K7:K99" si="0">I7-J7</f>
        <v>0</v>
      </c>
      <c r="L7" s="62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>
        <f>AX7+AW7+AV7+AU7+AT7+AS7+AR7+AQ7+AP7+AN7+AM7+AL7+AK7+AJ7+AI7+AH7+AG7+AF7+AE7+AD7+AC7+AB7+AA7+Z7+Y7+X7+W7+V7+U7+T7+S7+R7+Q7+P7+O7+N7+M7</f>
        <v>0</v>
      </c>
    </row>
    <row r="8" spans="1:59" x14ac:dyDescent="0.3">
      <c r="A8" s="161">
        <v>46018</v>
      </c>
      <c r="B8" s="11" t="s">
        <v>266</v>
      </c>
      <c r="C8" s="230" t="s">
        <v>225</v>
      </c>
      <c r="D8" s="231">
        <f t="shared" ref="D8:D37" si="1">+I8-E8</f>
        <v>0</v>
      </c>
      <c r="E8" s="238"/>
      <c r="F8" s="233"/>
      <c r="G8" s="233"/>
      <c r="H8" s="234"/>
      <c r="I8" s="235">
        <v>0</v>
      </c>
      <c r="J8" s="236"/>
      <c r="K8" s="237">
        <f t="shared" si="0"/>
        <v>0</v>
      </c>
      <c r="L8" s="62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>
        <f t="shared" ref="BG8:BG23" si="2">AX8+AW8+AV8+AU8+AT8+AS8+AR8+AQ8+AP8+AN8+AM8+AL8+AK8+AJ8+AI8+AH8+AG8+AF8+AE8+AD8+AC8+AB8+AA8+Z8+Y8+X8+W8+V8+U8+T8+S8+R8+Q8+P8+O8+N8+M8</f>
        <v>0</v>
      </c>
    </row>
    <row r="9" spans="1:59" x14ac:dyDescent="0.3">
      <c r="A9" s="161">
        <v>46018</v>
      </c>
      <c r="B9" s="11" t="s">
        <v>267</v>
      </c>
      <c r="C9" s="230" t="s">
        <v>226</v>
      </c>
      <c r="D9" s="231">
        <f t="shared" si="1"/>
        <v>0</v>
      </c>
      <c r="E9" s="238"/>
      <c r="F9" s="233"/>
      <c r="G9" s="233"/>
      <c r="H9" s="234"/>
      <c r="I9" s="235">
        <v>0</v>
      </c>
      <c r="J9" s="236"/>
      <c r="K9" s="237">
        <f t="shared" si="0"/>
        <v>0</v>
      </c>
      <c r="L9" s="62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>
        <f t="shared" si="2"/>
        <v>0</v>
      </c>
    </row>
    <row r="10" spans="1:59" x14ac:dyDescent="0.3">
      <c r="A10" s="161">
        <v>46018</v>
      </c>
      <c r="B10" s="11" t="s">
        <v>268</v>
      </c>
      <c r="C10" s="230" t="s">
        <v>227</v>
      </c>
      <c r="D10" s="231">
        <f t="shared" si="1"/>
        <v>0</v>
      </c>
      <c r="E10" s="238"/>
      <c r="F10" s="233"/>
      <c r="G10" s="233"/>
      <c r="H10" s="234"/>
      <c r="I10" s="235">
        <v>0</v>
      </c>
      <c r="J10" s="236"/>
      <c r="K10" s="237">
        <f t="shared" si="0"/>
        <v>0</v>
      </c>
      <c r="L10" s="62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>
        <f t="shared" si="2"/>
        <v>0</v>
      </c>
    </row>
    <row r="11" spans="1:59" x14ac:dyDescent="0.3">
      <c r="A11" s="161"/>
      <c r="B11" s="277"/>
      <c r="C11" s="230" t="s">
        <v>228</v>
      </c>
      <c r="D11" s="231">
        <f t="shared" si="1"/>
        <v>0</v>
      </c>
      <c r="E11" s="12"/>
      <c r="F11" s="162"/>
      <c r="G11" s="162"/>
      <c r="H11" s="163"/>
      <c r="I11" s="235">
        <v>0</v>
      </c>
      <c r="J11" s="236"/>
      <c r="K11" s="237">
        <f t="shared" si="0"/>
        <v>0</v>
      </c>
      <c r="L11" s="62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1:59" x14ac:dyDescent="0.3">
      <c r="A12" s="161"/>
      <c r="B12" s="277"/>
      <c r="C12" s="230" t="s">
        <v>229</v>
      </c>
      <c r="D12" s="231">
        <f t="shared" si="1"/>
        <v>0</v>
      </c>
      <c r="E12" s="12"/>
      <c r="F12" s="162"/>
      <c r="G12" s="162"/>
      <c r="H12" s="163"/>
      <c r="I12" s="235">
        <v>0</v>
      </c>
      <c r="J12" s="236"/>
      <c r="K12" s="237">
        <f t="shared" si="0"/>
        <v>0</v>
      </c>
      <c r="L12" s="62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</row>
    <row r="13" spans="1:59" x14ac:dyDescent="0.3">
      <c r="A13" s="161"/>
      <c r="B13" s="12"/>
      <c r="C13" s="230"/>
      <c r="D13" s="231"/>
      <c r="E13" s="12"/>
      <c r="F13" s="162"/>
      <c r="G13" s="162"/>
      <c r="H13" s="163"/>
      <c r="I13" s="235"/>
      <c r="J13" s="236"/>
      <c r="K13" s="237"/>
      <c r="L13" s="62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</row>
    <row r="14" spans="1:59" x14ac:dyDescent="0.3">
      <c r="A14" s="161">
        <v>46036</v>
      </c>
      <c r="B14" s="446" t="s">
        <v>316</v>
      </c>
      <c r="C14" s="447" t="s">
        <v>224</v>
      </c>
      <c r="D14" s="157">
        <f t="shared" si="1"/>
        <v>296</v>
      </c>
      <c r="E14" s="12"/>
      <c r="F14" s="162"/>
      <c r="G14" s="162">
        <v>296</v>
      </c>
      <c r="H14" s="163"/>
      <c r="I14" s="159">
        <v>296</v>
      </c>
      <c r="J14" s="164"/>
      <c r="K14" s="333">
        <f t="shared" si="0"/>
        <v>296</v>
      </c>
      <c r="L14" s="62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</row>
    <row r="15" spans="1:59" x14ac:dyDescent="0.3">
      <c r="A15" s="161">
        <v>46036</v>
      </c>
      <c r="B15" s="12" t="s">
        <v>315</v>
      </c>
      <c r="C15" s="156" t="s">
        <v>225</v>
      </c>
      <c r="D15" s="157">
        <f t="shared" si="1"/>
        <v>220</v>
      </c>
      <c r="E15" s="12"/>
      <c r="F15" s="162"/>
      <c r="G15" s="162">
        <v>220</v>
      </c>
      <c r="H15" s="163"/>
      <c r="I15" s="159">
        <v>220</v>
      </c>
      <c r="J15" s="164">
        <v>220</v>
      </c>
      <c r="K15" s="49">
        <f t="shared" si="0"/>
        <v>0</v>
      </c>
      <c r="L15" s="62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</row>
    <row r="16" spans="1:59" x14ac:dyDescent="0.3">
      <c r="A16" s="161">
        <v>46036</v>
      </c>
      <c r="B16" s="12" t="s">
        <v>371</v>
      </c>
      <c r="C16" s="156" t="s">
        <v>226</v>
      </c>
      <c r="D16" s="157">
        <f t="shared" si="1"/>
        <v>3800</v>
      </c>
      <c r="E16" s="12"/>
      <c r="F16" s="162"/>
      <c r="G16" s="162"/>
      <c r="H16" s="163">
        <v>3800</v>
      </c>
      <c r="I16" s="159">
        <v>3800</v>
      </c>
      <c r="J16" s="164"/>
      <c r="K16" s="49">
        <f t="shared" si="0"/>
        <v>3800</v>
      </c>
      <c r="L16" s="62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</row>
    <row r="17" spans="1:59" x14ac:dyDescent="0.3">
      <c r="A17" s="161">
        <v>46036</v>
      </c>
      <c r="B17" s="12" t="s">
        <v>317</v>
      </c>
      <c r="C17" s="156" t="s">
        <v>227</v>
      </c>
      <c r="D17" s="157">
        <f t="shared" si="1"/>
        <v>400</v>
      </c>
      <c r="E17" s="12"/>
      <c r="F17" s="162"/>
      <c r="G17" s="162"/>
      <c r="H17" s="163">
        <v>400</v>
      </c>
      <c r="I17" s="159">
        <v>400</v>
      </c>
      <c r="J17" s="164">
        <v>400</v>
      </c>
      <c r="K17" s="49">
        <f t="shared" si="0"/>
        <v>0</v>
      </c>
      <c r="L17" s="62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</row>
    <row r="18" spans="1:59" x14ac:dyDescent="0.3">
      <c r="A18" s="161">
        <v>46036</v>
      </c>
      <c r="B18" s="12" t="s">
        <v>369</v>
      </c>
      <c r="C18" s="156" t="s">
        <v>228</v>
      </c>
      <c r="D18" s="157">
        <f t="shared" si="1"/>
        <v>175</v>
      </c>
      <c r="E18" s="12"/>
      <c r="F18" s="162"/>
      <c r="G18" s="162">
        <v>175</v>
      </c>
      <c r="H18" s="163"/>
      <c r="I18" s="159">
        <v>175</v>
      </c>
      <c r="J18" s="164">
        <v>175</v>
      </c>
      <c r="K18" s="49">
        <f t="shared" si="0"/>
        <v>0</v>
      </c>
      <c r="L18" s="62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</row>
    <row r="19" spans="1:59" x14ac:dyDescent="0.3">
      <c r="A19" s="161">
        <v>46036</v>
      </c>
      <c r="B19" s="12" t="s">
        <v>370</v>
      </c>
      <c r="C19" s="156" t="s">
        <v>229</v>
      </c>
      <c r="D19" s="157">
        <f t="shared" si="1"/>
        <v>200</v>
      </c>
      <c r="E19" s="12"/>
      <c r="F19" s="162"/>
      <c r="G19" s="162"/>
      <c r="H19" s="163">
        <v>200</v>
      </c>
      <c r="I19" s="159">
        <v>200</v>
      </c>
      <c r="J19" s="11">
        <v>200</v>
      </c>
      <c r="K19" s="49">
        <f t="shared" si="0"/>
        <v>0</v>
      </c>
      <c r="L19" s="62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</row>
    <row r="20" spans="1:59" x14ac:dyDescent="0.3">
      <c r="A20" s="161">
        <v>46036</v>
      </c>
      <c r="B20" s="12" t="s">
        <v>207</v>
      </c>
      <c r="C20" s="156" t="s">
        <v>206</v>
      </c>
      <c r="D20" s="157">
        <f t="shared" si="1"/>
        <v>174</v>
      </c>
      <c r="E20" s="12"/>
      <c r="F20" s="162"/>
      <c r="G20" s="162"/>
      <c r="H20" s="163">
        <v>174</v>
      </c>
      <c r="I20" s="159">
        <v>174</v>
      </c>
      <c r="J20" s="164">
        <v>174</v>
      </c>
      <c r="K20" s="49">
        <f t="shared" si="0"/>
        <v>0</v>
      </c>
      <c r="L20" s="62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>
        <f t="shared" si="2"/>
        <v>0</v>
      </c>
    </row>
    <row r="21" spans="1:59" x14ac:dyDescent="0.3">
      <c r="A21" s="161">
        <v>46036</v>
      </c>
      <c r="B21" s="12" t="s">
        <v>214</v>
      </c>
      <c r="C21" s="156" t="s">
        <v>208</v>
      </c>
      <c r="D21" s="157">
        <f t="shared" si="1"/>
        <v>600</v>
      </c>
      <c r="E21" s="12"/>
      <c r="F21" s="162"/>
      <c r="G21" s="163"/>
      <c r="H21" s="163">
        <v>600</v>
      </c>
      <c r="I21" s="159">
        <v>600</v>
      </c>
      <c r="J21" s="11">
        <v>600</v>
      </c>
      <c r="K21" s="49">
        <f t="shared" si="0"/>
        <v>0</v>
      </c>
      <c r="L21" s="62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>
        <f t="shared" si="2"/>
        <v>0</v>
      </c>
    </row>
    <row r="22" spans="1:59" x14ac:dyDescent="0.3">
      <c r="A22" s="161">
        <v>46036</v>
      </c>
      <c r="B22" s="12" t="s">
        <v>256</v>
      </c>
      <c r="C22" s="156" t="s">
        <v>209</v>
      </c>
      <c r="D22" s="157">
        <f t="shared" si="1"/>
        <v>400</v>
      </c>
      <c r="E22" s="12"/>
      <c r="F22" s="162"/>
      <c r="G22" s="163"/>
      <c r="H22" s="163">
        <v>400</v>
      </c>
      <c r="I22" s="159">
        <v>400</v>
      </c>
      <c r="J22" s="164">
        <v>400</v>
      </c>
      <c r="K22" s="49">
        <f t="shared" si="0"/>
        <v>0</v>
      </c>
      <c r="L22" s="62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>
        <f t="shared" si="2"/>
        <v>0</v>
      </c>
    </row>
    <row r="23" spans="1:59" x14ac:dyDescent="0.3">
      <c r="A23" s="161">
        <v>46036</v>
      </c>
      <c r="B23" s="175" t="s">
        <v>215</v>
      </c>
      <c r="C23" s="156" t="s">
        <v>210</v>
      </c>
      <c r="D23" s="157">
        <f t="shared" si="1"/>
        <v>200</v>
      </c>
      <c r="E23" s="12"/>
      <c r="F23" s="162"/>
      <c r="G23" s="163"/>
      <c r="H23" s="163">
        <v>200</v>
      </c>
      <c r="I23" s="159">
        <v>200</v>
      </c>
      <c r="J23" s="166">
        <v>200</v>
      </c>
      <c r="K23" s="49">
        <f t="shared" si="0"/>
        <v>0</v>
      </c>
      <c r="L23" s="62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>
        <f t="shared" si="2"/>
        <v>0</v>
      </c>
    </row>
    <row r="24" spans="1:59" x14ac:dyDescent="0.3">
      <c r="A24" s="161">
        <v>46047</v>
      </c>
      <c r="B24" s="12" t="s">
        <v>257</v>
      </c>
      <c r="C24" s="156" t="s">
        <v>211</v>
      </c>
      <c r="D24" s="157">
        <f t="shared" si="1"/>
        <v>577.5</v>
      </c>
      <c r="E24" s="12"/>
      <c r="F24" s="162"/>
      <c r="G24" s="163"/>
      <c r="H24" s="163">
        <v>577.5</v>
      </c>
      <c r="I24" s="159">
        <v>577.5</v>
      </c>
      <c r="J24" s="164"/>
      <c r="K24" s="49">
        <f t="shared" si="0"/>
        <v>577.5</v>
      </c>
      <c r="L24" s="62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</row>
    <row r="25" spans="1:59" x14ac:dyDescent="0.3">
      <c r="A25" s="161">
        <v>46047</v>
      </c>
      <c r="B25" s="165" t="s">
        <v>258</v>
      </c>
      <c r="C25" s="156" t="s">
        <v>212</v>
      </c>
      <c r="D25" s="157">
        <f t="shared" si="1"/>
        <v>288.75</v>
      </c>
      <c r="E25" s="12"/>
      <c r="F25" s="162"/>
      <c r="G25" s="163"/>
      <c r="H25" s="163">
        <v>288.75</v>
      </c>
      <c r="I25" s="159">
        <v>288.75</v>
      </c>
      <c r="J25" s="11">
        <v>14</v>
      </c>
      <c r="K25" s="49">
        <f t="shared" si="0"/>
        <v>274.75</v>
      </c>
      <c r="L25" s="6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</row>
    <row r="26" spans="1:59" x14ac:dyDescent="0.3">
      <c r="A26" s="161">
        <v>46047</v>
      </c>
      <c r="B26" s="165" t="s">
        <v>259</v>
      </c>
      <c r="C26" s="156" t="s">
        <v>213</v>
      </c>
      <c r="D26" s="157">
        <f t="shared" si="1"/>
        <v>450</v>
      </c>
      <c r="E26" s="12"/>
      <c r="F26" s="162"/>
      <c r="G26" s="163"/>
      <c r="H26" s="163">
        <v>450</v>
      </c>
      <c r="I26" s="159">
        <v>450</v>
      </c>
      <c r="J26" s="164">
        <v>450</v>
      </c>
      <c r="K26" s="49">
        <f t="shared" si="0"/>
        <v>0</v>
      </c>
      <c r="L26" s="6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</row>
    <row r="27" spans="1:59" x14ac:dyDescent="0.3">
      <c r="A27" s="161">
        <v>46047</v>
      </c>
      <c r="B27" s="12" t="s">
        <v>223</v>
      </c>
      <c r="C27" s="156" t="s">
        <v>216</v>
      </c>
      <c r="D27" s="157">
        <f t="shared" si="1"/>
        <v>182.7</v>
      </c>
      <c r="E27" s="12"/>
      <c r="F27" s="162"/>
      <c r="G27" s="163"/>
      <c r="H27" s="163">
        <v>182.7</v>
      </c>
      <c r="I27" s="159">
        <v>182.7</v>
      </c>
      <c r="J27" s="164">
        <v>182.7</v>
      </c>
      <c r="K27" s="49">
        <f t="shared" si="0"/>
        <v>0</v>
      </c>
      <c r="L27" s="6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</row>
    <row r="28" spans="1:59" x14ac:dyDescent="0.3">
      <c r="A28" s="161">
        <v>46050</v>
      </c>
      <c r="B28" s="12" t="s">
        <v>260</v>
      </c>
      <c r="C28" s="156" t="s">
        <v>217</v>
      </c>
      <c r="D28" s="157">
        <f t="shared" si="1"/>
        <v>210</v>
      </c>
      <c r="E28" s="12"/>
      <c r="F28" s="162"/>
      <c r="G28" s="163"/>
      <c r="H28" s="163">
        <v>210</v>
      </c>
      <c r="I28" s="159">
        <v>210</v>
      </c>
      <c r="J28" s="164">
        <v>210</v>
      </c>
      <c r="K28" s="49">
        <f t="shared" si="0"/>
        <v>0</v>
      </c>
      <c r="L28" s="6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</row>
    <row r="29" spans="1:59" x14ac:dyDescent="0.3">
      <c r="A29" s="161">
        <v>46050</v>
      </c>
      <c r="B29" s="12" t="s">
        <v>261</v>
      </c>
      <c r="C29" s="156" t="s">
        <v>218</v>
      </c>
      <c r="D29" s="157">
        <f t="shared" si="1"/>
        <v>210</v>
      </c>
      <c r="E29" s="12"/>
      <c r="F29" s="162"/>
      <c r="G29" s="163"/>
      <c r="H29" s="163">
        <v>210</v>
      </c>
      <c r="I29" s="159">
        <v>210</v>
      </c>
      <c r="J29" s="11">
        <v>210</v>
      </c>
      <c r="K29" s="49">
        <f t="shared" si="0"/>
        <v>0</v>
      </c>
      <c r="L29" s="6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</row>
    <row r="30" spans="1:59" x14ac:dyDescent="0.3">
      <c r="A30" s="161">
        <v>46050</v>
      </c>
      <c r="B30" s="408" t="s">
        <v>807</v>
      </c>
      <c r="C30" s="156" t="s">
        <v>219</v>
      </c>
      <c r="D30" s="157">
        <f t="shared" si="1"/>
        <v>183.75</v>
      </c>
      <c r="E30" s="12"/>
      <c r="F30" s="162"/>
      <c r="G30" s="163"/>
      <c r="H30" s="163">
        <v>183.75</v>
      </c>
      <c r="I30" s="159">
        <v>183.75</v>
      </c>
      <c r="J30" s="164">
        <v>175</v>
      </c>
      <c r="K30" s="333">
        <f t="shared" si="0"/>
        <v>8.75</v>
      </c>
      <c r="L30" s="6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</row>
    <row r="31" spans="1:59" x14ac:dyDescent="0.3">
      <c r="A31" s="161">
        <v>46050</v>
      </c>
      <c r="B31" s="408" t="s">
        <v>262</v>
      </c>
      <c r="C31" s="156" t="s">
        <v>220</v>
      </c>
      <c r="D31" s="157">
        <f t="shared" si="1"/>
        <v>367.5</v>
      </c>
      <c r="E31" s="12"/>
      <c r="F31" s="162"/>
      <c r="G31" s="163"/>
      <c r="H31" s="163">
        <v>367.5</v>
      </c>
      <c r="I31" s="159">
        <v>367.5</v>
      </c>
      <c r="J31" s="164">
        <v>350</v>
      </c>
      <c r="K31" s="333">
        <f t="shared" si="0"/>
        <v>17.5</v>
      </c>
      <c r="L31" s="6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</row>
    <row r="32" spans="1:59" x14ac:dyDescent="0.3">
      <c r="A32" s="161">
        <v>46050</v>
      </c>
      <c r="B32" s="12" t="s">
        <v>263</v>
      </c>
      <c r="C32" s="156" t="s">
        <v>221</v>
      </c>
      <c r="D32" s="157">
        <f t="shared" si="1"/>
        <v>210</v>
      </c>
      <c r="E32" s="12"/>
      <c r="F32" s="162"/>
      <c r="G32" s="163"/>
      <c r="H32" s="163">
        <v>210</v>
      </c>
      <c r="I32" s="159">
        <v>210</v>
      </c>
      <c r="J32" s="164">
        <v>210</v>
      </c>
      <c r="K32" s="49">
        <f t="shared" si="0"/>
        <v>0</v>
      </c>
      <c r="L32" s="6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</row>
    <row r="33" spans="1:59" x14ac:dyDescent="0.3">
      <c r="A33" s="161">
        <v>46050</v>
      </c>
      <c r="B33" s="12" t="s">
        <v>264</v>
      </c>
      <c r="C33" s="156" t="s">
        <v>222</v>
      </c>
      <c r="D33" s="157">
        <f t="shared" si="1"/>
        <v>420</v>
      </c>
      <c r="E33" s="12"/>
      <c r="F33" s="162"/>
      <c r="G33" s="163"/>
      <c r="H33" s="163">
        <v>420</v>
      </c>
      <c r="I33" s="159">
        <v>420</v>
      </c>
      <c r="J33" s="164">
        <v>420</v>
      </c>
      <c r="K33" s="49">
        <f t="shared" si="0"/>
        <v>0</v>
      </c>
      <c r="L33" s="6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</row>
    <row r="34" spans="1:59" x14ac:dyDescent="0.3">
      <c r="A34" s="161">
        <v>46053</v>
      </c>
      <c r="B34" s="12" t="s">
        <v>403</v>
      </c>
      <c r="C34" s="156" t="s">
        <v>402</v>
      </c>
      <c r="D34" s="157">
        <f t="shared" si="1"/>
        <v>600</v>
      </c>
      <c r="E34" s="12"/>
      <c r="F34" s="162"/>
      <c r="G34" s="163"/>
      <c r="H34" s="163">
        <v>600</v>
      </c>
      <c r="I34" s="159">
        <v>600</v>
      </c>
      <c r="J34" s="11">
        <v>600</v>
      </c>
      <c r="K34" s="49">
        <f t="shared" si="0"/>
        <v>0</v>
      </c>
      <c r="L34" s="6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</row>
    <row r="35" spans="1:59" x14ac:dyDescent="0.3">
      <c r="A35" s="161">
        <v>46053</v>
      </c>
      <c r="B35" s="12" t="s">
        <v>405</v>
      </c>
      <c r="C35" s="156" t="s">
        <v>404</v>
      </c>
      <c r="D35" s="157">
        <f t="shared" si="1"/>
        <v>400</v>
      </c>
      <c r="E35" s="12"/>
      <c r="F35" s="162"/>
      <c r="G35" s="163"/>
      <c r="H35" s="163">
        <v>400</v>
      </c>
      <c r="I35" s="159">
        <v>400</v>
      </c>
      <c r="J35" s="164"/>
      <c r="K35" s="49">
        <f t="shared" si="0"/>
        <v>400</v>
      </c>
      <c r="L35" s="6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</row>
    <row r="36" spans="1:59" x14ac:dyDescent="0.3">
      <c r="A36" s="161">
        <v>46053</v>
      </c>
      <c r="B36" s="12" t="s">
        <v>406</v>
      </c>
      <c r="C36" s="156" t="s">
        <v>407</v>
      </c>
      <c r="D36" s="157">
        <f t="shared" si="1"/>
        <v>600</v>
      </c>
      <c r="E36" s="12"/>
      <c r="F36" s="162"/>
      <c r="G36" s="163"/>
      <c r="H36" s="163">
        <v>600</v>
      </c>
      <c r="I36" s="159">
        <v>600</v>
      </c>
      <c r="J36" s="11">
        <v>156.4</v>
      </c>
      <c r="K36" s="237">
        <f t="shared" si="0"/>
        <v>443.6</v>
      </c>
      <c r="L36" s="6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</row>
    <row r="37" spans="1:59" x14ac:dyDescent="0.3">
      <c r="A37" s="161">
        <v>46053</v>
      </c>
      <c r="B37" s="12" t="s">
        <v>410</v>
      </c>
      <c r="C37" s="156" t="s">
        <v>408</v>
      </c>
      <c r="D37" s="157">
        <f t="shared" si="1"/>
        <v>210</v>
      </c>
      <c r="E37" s="12"/>
      <c r="F37" s="162"/>
      <c r="G37" s="163"/>
      <c r="H37" s="163">
        <v>210</v>
      </c>
      <c r="I37" s="159">
        <v>210</v>
      </c>
      <c r="J37" s="164"/>
      <c r="K37" s="49">
        <f t="shared" si="0"/>
        <v>210</v>
      </c>
      <c r="L37" s="6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</row>
    <row r="38" spans="1:59" x14ac:dyDescent="0.3">
      <c r="A38" s="161"/>
      <c r="B38" s="12"/>
      <c r="C38" s="156"/>
      <c r="D38" s="157"/>
      <c r="E38" s="12"/>
      <c r="F38" s="162"/>
      <c r="G38" s="162"/>
      <c r="H38" s="162"/>
      <c r="I38" s="159"/>
      <c r="J38" s="11"/>
      <c r="K38" s="49"/>
      <c r="L38" s="62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>
        <f>+AQ38+AP38+AN38+AM38+AL38+AK38+AJ38+AI38+AH38+AG38+AF38+AE38+AD38+AC38+AB38+AA38+Z38+Y38+X38+W38+V38+U38+T38+S38+R38+Q38+P38+O38+N38+M38</f>
        <v>0</v>
      </c>
    </row>
    <row r="39" spans="1:59" ht="18" x14ac:dyDescent="0.35">
      <c r="A39" s="11"/>
      <c r="B39" s="167" t="s">
        <v>193</v>
      </c>
      <c r="C39" s="168"/>
      <c r="D39" s="48">
        <f t="shared" ref="D39:J39" si="3">SUM(D7:D38)</f>
        <v>11375.2</v>
      </c>
      <c r="E39" s="48">
        <f t="shared" si="3"/>
        <v>0</v>
      </c>
      <c r="F39" s="48">
        <f t="shared" si="3"/>
        <v>0</v>
      </c>
      <c r="G39" s="48">
        <f t="shared" si="3"/>
        <v>691</v>
      </c>
      <c r="H39" s="48">
        <f t="shared" si="3"/>
        <v>10684.2</v>
      </c>
      <c r="I39" s="48">
        <f t="shared" si="3"/>
        <v>11375.2</v>
      </c>
      <c r="J39" s="48">
        <f t="shared" si="3"/>
        <v>5347.0999999999995</v>
      </c>
      <c r="K39" s="48">
        <f t="shared" si="0"/>
        <v>6028.1000000000013</v>
      </c>
      <c r="L39" s="62"/>
      <c r="M39" s="64">
        <f t="shared" ref="M39:AN39" si="4">SUM(M7:M38)</f>
        <v>0</v>
      </c>
      <c r="N39" s="64">
        <f t="shared" si="4"/>
        <v>0</v>
      </c>
      <c r="O39" s="64">
        <f t="shared" si="4"/>
        <v>0</v>
      </c>
      <c r="P39" s="64">
        <f t="shared" si="4"/>
        <v>0</v>
      </c>
      <c r="Q39" s="64">
        <f t="shared" si="4"/>
        <v>0</v>
      </c>
      <c r="R39" s="64">
        <f t="shared" si="4"/>
        <v>0</v>
      </c>
      <c r="S39" s="64">
        <f t="shared" si="4"/>
        <v>0</v>
      </c>
      <c r="T39" s="64">
        <f t="shared" si="4"/>
        <v>0</v>
      </c>
      <c r="U39" s="64">
        <f t="shared" si="4"/>
        <v>0</v>
      </c>
      <c r="V39" s="64">
        <f t="shared" si="4"/>
        <v>0</v>
      </c>
      <c r="W39" s="64">
        <f t="shared" si="4"/>
        <v>0</v>
      </c>
      <c r="X39" s="64">
        <f t="shared" si="4"/>
        <v>0</v>
      </c>
      <c r="Y39" s="64">
        <f t="shared" si="4"/>
        <v>0</v>
      </c>
      <c r="Z39" s="64">
        <f t="shared" si="4"/>
        <v>0</v>
      </c>
      <c r="AA39" s="64">
        <f t="shared" si="4"/>
        <v>0</v>
      </c>
      <c r="AB39" s="64">
        <f t="shared" si="4"/>
        <v>0</v>
      </c>
      <c r="AC39" s="64">
        <f t="shared" si="4"/>
        <v>0</v>
      </c>
      <c r="AD39" s="64">
        <f t="shared" si="4"/>
        <v>0</v>
      </c>
      <c r="AE39" s="64">
        <f t="shared" si="4"/>
        <v>0</v>
      </c>
      <c r="AF39" s="64">
        <f t="shared" si="4"/>
        <v>0</v>
      </c>
      <c r="AG39" s="64">
        <f t="shared" si="4"/>
        <v>0</v>
      </c>
      <c r="AH39" s="64">
        <f t="shared" si="4"/>
        <v>0</v>
      </c>
      <c r="AI39" s="64">
        <f t="shared" si="4"/>
        <v>0</v>
      </c>
      <c r="AJ39" s="64">
        <f t="shared" si="4"/>
        <v>0</v>
      </c>
      <c r="AK39" s="64">
        <f t="shared" si="4"/>
        <v>0</v>
      </c>
      <c r="AL39" s="64">
        <f t="shared" si="4"/>
        <v>0</v>
      </c>
      <c r="AM39" s="64">
        <f t="shared" si="4"/>
        <v>0</v>
      </c>
      <c r="AN39" s="64">
        <f t="shared" si="4"/>
        <v>0</v>
      </c>
      <c r="AO39" s="64"/>
      <c r="AP39" s="64">
        <f t="shared" ref="AP39:AY39" si="5">SUM(AP7:AP38)</f>
        <v>0</v>
      </c>
      <c r="AQ39" s="64">
        <f t="shared" si="5"/>
        <v>0</v>
      </c>
      <c r="AR39" s="64">
        <f t="shared" si="5"/>
        <v>0</v>
      </c>
      <c r="AS39" s="64">
        <f t="shared" si="5"/>
        <v>0</v>
      </c>
      <c r="AT39" s="64">
        <f t="shared" si="5"/>
        <v>0</v>
      </c>
      <c r="AU39" s="64">
        <f t="shared" si="5"/>
        <v>0</v>
      </c>
      <c r="AV39" s="64">
        <f t="shared" si="5"/>
        <v>0</v>
      </c>
      <c r="AW39" s="64">
        <f t="shared" si="5"/>
        <v>0</v>
      </c>
      <c r="AX39" s="64">
        <f t="shared" si="5"/>
        <v>0</v>
      </c>
      <c r="AY39" s="64">
        <f t="shared" si="5"/>
        <v>0</v>
      </c>
      <c r="AZ39" s="64"/>
      <c r="BA39" s="64"/>
      <c r="BB39" s="64"/>
      <c r="BC39" s="64"/>
      <c r="BD39" s="64"/>
      <c r="BE39" s="64"/>
      <c r="BF39" s="64"/>
      <c r="BG39" s="64">
        <f>SUM(BG7:BG38)</f>
        <v>0</v>
      </c>
    </row>
    <row r="40" spans="1:59" x14ac:dyDescent="0.3">
      <c r="A40" s="11"/>
      <c r="B40" s="11"/>
      <c r="C40" s="156"/>
      <c r="D40" s="157"/>
      <c r="E40" s="12"/>
      <c r="F40" s="162"/>
      <c r="G40" s="162"/>
      <c r="H40" s="162"/>
      <c r="I40" s="159"/>
      <c r="J40" s="11"/>
      <c r="K40" s="49"/>
      <c r="L40" s="62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</row>
    <row r="41" spans="1:59" x14ac:dyDescent="0.3">
      <c r="A41" s="180">
        <v>46069</v>
      </c>
      <c r="B41" s="408" t="s">
        <v>426</v>
      </c>
      <c r="C41" s="156" t="s">
        <v>409</v>
      </c>
      <c r="D41" s="157">
        <f t="shared" ref="D41:D61" si="6">+I41-E41</f>
        <v>367.5</v>
      </c>
      <c r="E41" s="12"/>
      <c r="F41" s="162"/>
      <c r="G41" s="162"/>
      <c r="H41" s="162">
        <v>367.5</v>
      </c>
      <c r="I41" s="159">
        <v>367.5</v>
      </c>
      <c r="J41" s="11">
        <v>367.5</v>
      </c>
      <c r="K41" s="49">
        <f t="shared" si="0"/>
        <v>0</v>
      </c>
      <c r="L41" s="62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</row>
    <row r="42" spans="1:59" x14ac:dyDescent="0.3">
      <c r="A42" s="180">
        <v>46069</v>
      </c>
      <c r="B42" s="12" t="s">
        <v>419</v>
      </c>
      <c r="C42" s="156" t="s">
        <v>411</v>
      </c>
      <c r="D42" s="157">
        <f t="shared" si="6"/>
        <v>420</v>
      </c>
      <c r="E42" s="12"/>
      <c r="F42" s="162"/>
      <c r="G42" s="162"/>
      <c r="H42" s="162">
        <v>420</v>
      </c>
      <c r="I42" s="159">
        <v>420</v>
      </c>
      <c r="J42" s="11">
        <v>420</v>
      </c>
      <c r="K42" s="49">
        <f t="shared" si="0"/>
        <v>0</v>
      </c>
      <c r="L42" s="62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</row>
    <row r="43" spans="1:59" x14ac:dyDescent="0.3">
      <c r="A43" s="180">
        <v>46069</v>
      </c>
      <c r="B43" s="12" t="s">
        <v>420</v>
      </c>
      <c r="C43" s="156" t="s">
        <v>412</v>
      </c>
      <c r="D43" s="157">
        <f t="shared" si="6"/>
        <v>400</v>
      </c>
      <c r="E43" s="12"/>
      <c r="F43" s="162"/>
      <c r="G43" s="162"/>
      <c r="H43" s="162">
        <v>400</v>
      </c>
      <c r="I43" s="159">
        <v>400</v>
      </c>
      <c r="J43" s="11"/>
      <c r="K43" s="49">
        <f t="shared" si="0"/>
        <v>400</v>
      </c>
      <c r="L43" s="62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</row>
    <row r="44" spans="1:59" x14ac:dyDescent="0.3">
      <c r="A44" s="180">
        <v>46069</v>
      </c>
      <c r="B44" s="12" t="s">
        <v>782</v>
      </c>
      <c r="C44" s="156" t="s">
        <v>413</v>
      </c>
      <c r="D44" s="157">
        <f t="shared" si="6"/>
        <v>174</v>
      </c>
      <c r="E44" s="12"/>
      <c r="F44" s="162"/>
      <c r="G44" s="162"/>
      <c r="H44" s="162">
        <v>157.5</v>
      </c>
      <c r="I44" s="159">
        <v>174</v>
      </c>
      <c r="J44" s="11">
        <v>174</v>
      </c>
      <c r="K44" s="49">
        <f t="shared" si="0"/>
        <v>0</v>
      </c>
      <c r="L44" s="62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</row>
    <row r="45" spans="1:59" x14ac:dyDescent="0.3">
      <c r="A45" s="180">
        <v>46069</v>
      </c>
      <c r="B45" s="328" t="s">
        <v>492</v>
      </c>
      <c r="C45" s="156" t="s">
        <v>491</v>
      </c>
      <c r="D45" s="157">
        <f t="shared" si="6"/>
        <v>225</v>
      </c>
      <c r="E45" s="12"/>
      <c r="F45" s="162"/>
      <c r="G45" s="162">
        <v>225</v>
      </c>
      <c r="H45" s="162"/>
      <c r="I45" s="159">
        <v>225</v>
      </c>
      <c r="J45" s="169"/>
      <c r="K45" s="49">
        <f t="shared" si="0"/>
        <v>225</v>
      </c>
      <c r="L45" s="62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</row>
    <row r="46" spans="1:59" x14ac:dyDescent="0.3">
      <c r="A46" s="180">
        <v>46069</v>
      </c>
      <c r="B46" s="12" t="s">
        <v>422</v>
      </c>
      <c r="C46" s="156" t="s">
        <v>414</v>
      </c>
      <c r="D46" s="157">
        <f t="shared" si="6"/>
        <v>243.6</v>
      </c>
      <c r="E46" s="12"/>
      <c r="F46" s="162"/>
      <c r="G46" s="162"/>
      <c r="H46" s="162">
        <v>243.6</v>
      </c>
      <c r="I46" s="159">
        <v>243.6</v>
      </c>
      <c r="J46" s="11">
        <v>243.6</v>
      </c>
      <c r="K46" s="49">
        <f t="shared" si="0"/>
        <v>0</v>
      </c>
      <c r="L46" s="62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</row>
    <row r="47" spans="1:59" x14ac:dyDescent="0.3">
      <c r="A47" s="180">
        <v>46069</v>
      </c>
      <c r="B47" s="12" t="s">
        <v>423</v>
      </c>
      <c r="C47" s="156" t="s">
        <v>415</v>
      </c>
      <c r="D47" s="157">
        <f t="shared" si="6"/>
        <v>700</v>
      </c>
      <c r="E47" s="12"/>
      <c r="F47" s="162"/>
      <c r="G47" s="162">
        <v>700</v>
      </c>
      <c r="H47" s="162"/>
      <c r="I47" s="159">
        <v>700</v>
      </c>
      <c r="J47" s="11">
        <v>700</v>
      </c>
      <c r="K47" s="49">
        <f t="shared" si="0"/>
        <v>0</v>
      </c>
      <c r="L47" s="62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</row>
    <row r="48" spans="1:59" x14ac:dyDescent="0.3">
      <c r="A48" s="180">
        <v>46069</v>
      </c>
      <c r="B48" s="413" t="s">
        <v>425</v>
      </c>
      <c r="C48" s="156" t="s">
        <v>416</v>
      </c>
      <c r="D48" s="157">
        <f t="shared" si="6"/>
        <v>846</v>
      </c>
      <c r="E48" s="12"/>
      <c r="F48" s="162"/>
      <c r="G48" s="162">
        <v>846</v>
      </c>
      <c r="H48" s="162"/>
      <c r="I48" s="159">
        <v>846</v>
      </c>
      <c r="J48" s="11"/>
      <c r="K48" s="49">
        <f t="shared" si="0"/>
        <v>846</v>
      </c>
      <c r="L48" s="62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</row>
    <row r="49" spans="1:59" x14ac:dyDescent="0.3">
      <c r="A49" s="180">
        <v>46069</v>
      </c>
      <c r="B49" s="328" t="s">
        <v>424</v>
      </c>
      <c r="C49" s="156" t="s">
        <v>417</v>
      </c>
      <c r="D49" s="157">
        <f t="shared" si="6"/>
        <v>194.6</v>
      </c>
      <c r="E49" s="12"/>
      <c r="F49" s="162"/>
      <c r="G49" s="162"/>
      <c r="H49" s="162">
        <v>194.6</v>
      </c>
      <c r="I49" s="159">
        <v>194.6</v>
      </c>
      <c r="J49" s="11"/>
      <c r="K49" s="49">
        <f t="shared" si="0"/>
        <v>194.6</v>
      </c>
      <c r="L49" s="62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</row>
    <row r="50" spans="1:59" x14ac:dyDescent="0.3">
      <c r="A50" s="180">
        <v>46078</v>
      </c>
      <c r="B50" s="12" t="s">
        <v>587</v>
      </c>
      <c r="C50" s="156" t="s">
        <v>418</v>
      </c>
      <c r="D50" s="157">
        <f t="shared" si="6"/>
        <v>210</v>
      </c>
      <c r="E50" s="12"/>
      <c r="F50" s="162"/>
      <c r="G50" s="162"/>
      <c r="H50" s="162">
        <v>210</v>
      </c>
      <c r="I50" s="159">
        <v>210</v>
      </c>
      <c r="J50" s="11">
        <v>210</v>
      </c>
      <c r="K50" s="49">
        <f t="shared" si="0"/>
        <v>0</v>
      </c>
      <c r="L50" s="62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</row>
    <row r="51" spans="1:59" x14ac:dyDescent="0.3">
      <c r="A51" s="180">
        <v>46078</v>
      </c>
      <c r="B51" s="408" t="s">
        <v>808</v>
      </c>
      <c r="C51" s="156" t="s">
        <v>478</v>
      </c>
      <c r="D51" s="157">
        <f t="shared" si="6"/>
        <v>183.75</v>
      </c>
      <c r="E51" s="12"/>
      <c r="F51" s="162"/>
      <c r="G51" s="162"/>
      <c r="H51" s="162">
        <v>183.75</v>
      </c>
      <c r="I51" s="159">
        <v>183.75</v>
      </c>
      <c r="J51" s="11">
        <v>183.75</v>
      </c>
      <c r="K51" s="49">
        <f t="shared" si="0"/>
        <v>0</v>
      </c>
      <c r="L51" s="62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</row>
    <row r="52" spans="1:59" x14ac:dyDescent="0.3">
      <c r="A52" s="180">
        <v>46078</v>
      </c>
      <c r="B52" s="12" t="s">
        <v>800</v>
      </c>
      <c r="C52" s="156" t="s">
        <v>479</v>
      </c>
      <c r="D52" s="157">
        <f t="shared" si="6"/>
        <v>100</v>
      </c>
      <c r="E52" s="12"/>
      <c r="F52" s="162"/>
      <c r="G52" s="162"/>
      <c r="H52" s="162">
        <v>100</v>
      </c>
      <c r="I52" s="159">
        <v>100</v>
      </c>
      <c r="J52" s="11"/>
      <c r="K52" s="49">
        <f t="shared" si="0"/>
        <v>100</v>
      </c>
      <c r="L52" s="62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</row>
    <row r="53" spans="1:59" x14ac:dyDescent="0.3">
      <c r="A53" s="180">
        <v>46078</v>
      </c>
      <c r="B53" s="12" t="s">
        <v>540</v>
      </c>
      <c r="C53" s="156" t="s">
        <v>480</v>
      </c>
      <c r="D53" s="157">
        <f t="shared" si="6"/>
        <v>250</v>
      </c>
      <c r="E53" s="12"/>
      <c r="F53" s="162"/>
      <c r="G53" s="162"/>
      <c r="H53" s="162">
        <v>250</v>
      </c>
      <c r="I53" s="159">
        <v>250</v>
      </c>
      <c r="J53" s="160">
        <v>250</v>
      </c>
      <c r="K53" s="49">
        <f t="shared" si="0"/>
        <v>0</v>
      </c>
      <c r="L53" s="62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</row>
    <row r="54" spans="1:59" x14ac:dyDescent="0.3">
      <c r="A54" s="180">
        <v>46080</v>
      </c>
      <c r="B54" s="12" t="s">
        <v>517</v>
      </c>
      <c r="C54" s="156" t="s">
        <v>481</v>
      </c>
      <c r="D54" s="157">
        <f t="shared" si="6"/>
        <v>182.7</v>
      </c>
      <c r="E54" s="12"/>
      <c r="F54" s="162"/>
      <c r="G54" s="162"/>
      <c r="H54" s="162">
        <v>182.7</v>
      </c>
      <c r="I54" s="159">
        <v>182.7</v>
      </c>
      <c r="J54" s="160">
        <v>182.7</v>
      </c>
      <c r="K54" s="49">
        <f t="shared" si="0"/>
        <v>0</v>
      </c>
      <c r="L54" s="62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</row>
    <row r="55" spans="1:59" x14ac:dyDescent="0.3">
      <c r="A55" s="180">
        <v>46080</v>
      </c>
      <c r="B55" s="12" t="s">
        <v>541</v>
      </c>
      <c r="C55" s="156" t="s">
        <v>482</v>
      </c>
      <c r="D55" s="157">
        <f t="shared" si="6"/>
        <v>210</v>
      </c>
      <c r="E55" s="12"/>
      <c r="F55" s="162"/>
      <c r="G55" s="162"/>
      <c r="H55" s="162">
        <v>210</v>
      </c>
      <c r="I55" s="159">
        <v>210</v>
      </c>
      <c r="J55" s="160"/>
      <c r="K55" s="49">
        <f t="shared" si="0"/>
        <v>210</v>
      </c>
      <c r="L55" s="62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</row>
    <row r="56" spans="1:59" x14ac:dyDescent="0.3">
      <c r="A56" s="180">
        <v>46081</v>
      </c>
      <c r="B56" s="12" t="s">
        <v>542</v>
      </c>
      <c r="C56" s="156" t="s">
        <v>483</v>
      </c>
      <c r="D56" s="157">
        <f t="shared" si="6"/>
        <v>577.5</v>
      </c>
      <c r="E56" s="12"/>
      <c r="F56" s="162"/>
      <c r="G56" s="162"/>
      <c r="H56" s="162">
        <v>577.5</v>
      </c>
      <c r="I56" s="159">
        <v>577.5</v>
      </c>
      <c r="J56" s="160"/>
      <c r="K56" s="49">
        <f t="shared" si="0"/>
        <v>577.5</v>
      </c>
      <c r="L56" s="62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</row>
    <row r="57" spans="1:59" x14ac:dyDescent="0.3">
      <c r="A57" s="180">
        <v>46081</v>
      </c>
      <c r="B57" s="165" t="s">
        <v>543</v>
      </c>
      <c r="C57" s="156" t="s">
        <v>484</v>
      </c>
      <c r="D57" s="157">
        <f t="shared" si="6"/>
        <v>288.75</v>
      </c>
      <c r="E57" s="12"/>
      <c r="F57" s="162"/>
      <c r="G57" s="162"/>
      <c r="H57" s="162">
        <v>288.75</v>
      </c>
      <c r="I57" s="159">
        <v>288.75</v>
      </c>
      <c r="J57" s="160"/>
      <c r="K57" s="49">
        <f t="shared" si="0"/>
        <v>288.75</v>
      </c>
      <c r="L57" s="62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</row>
    <row r="58" spans="1:59" x14ac:dyDescent="0.3">
      <c r="A58" s="180">
        <v>46081</v>
      </c>
      <c r="B58" s="12" t="s">
        <v>421</v>
      </c>
      <c r="C58" s="156" t="s">
        <v>485</v>
      </c>
      <c r="D58" s="157">
        <f t="shared" si="6"/>
        <v>174</v>
      </c>
      <c r="E58" s="12"/>
      <c r="F58" s="162"/>
      <c r="G58" s="162"/>
      <c r="H58" s="162">
        <v>174</v>
      </c>
      <c r="I58" s="159">
        <v>174</v>
      </c>
      <c r="J58" s="160">
        <v>174</v>
      </c>
      <c r="K58" s="49">
        <f t="shared" si="0"/>
        <v>0</v>
      </c>
      <c r="L58" s="62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</row>
    <row r="59" spans="1:59" x14ac:dyDescent="0.3">
      <c r="A59" s="180">
        <v>46081</v>
      </c>
      <c r="B59" s="12" t="s">
        <v>544</v>
      </c>
      <c r="C59" s="156" t="s">
        <v>486</v>
      </c>
      <c r="D59" s="157">
        <f t="shared" si="6"/>
        <v>420</v>
      </c>
      <c r="E59" s="12"/>
      <c r="F59" s="162"/>
      <c r="G59" s="162"/>
      <c r="H59" s="162">
        <v>420</v>
      </c>
      <c r="I59" s="159">
        <v>420</v>
      </c>
      <c r="J59" s="160">
        <v>420</v>
      </c>
      <c r="K59" s="49">
        <f t="shared" si="0"/>
        <v>0</v>
      </c>
      <c r="L59" s="62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</row>
    <row r="60" spans="1:59" x14ac:dyDescent="0.3">
      <c r="A60" s="180">
        <v>46081</v>
      </c>
      <c r="B60" s="12" t="s">
        <v>545</v>
      </c>
      <c r="C60" s="156" t="s">
        <v>487</v>
      </c>
      <c r="D60" s="157">
        <f t="shared" si="6"/>
        <v>210</v>
      </c>
      <c r="E60" s="12"/>
      <c r="F60" s="162"/>
      <c r="G60" s="162"/>
      <c r="H60" s="162">
        <v>210</v>
      </c>
      <c r="I60" s="159">
        <v>210</v>
      </c>
      <c r="J60" s="160"/>
      <c r="K60" s="49">
        <f t="shared" si="0"/>
        <v>210</v>
      </c>
      <c r="L60" s="62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</row>
    <row r="61" spans="1:59" x14ac:dyDescent="0.3">
      <c r="A61" s="180">
        <v>46081</v>
      </c>
      <c r="B61" s="12" t="s">
        <v>546</v>
      </c>
      <c r="C61" s="156" t="s">
        <v>488</v>
      </c>
      <c r="D61" s="157">
        <f t="shared" si="6"/>
        <v>210</v>
      </c>
      <c r="E61" s="12"/>
      <c r="F61" s="162"/>
      <c r="G61" s="162"/>
      <c r="H61" s="162">
        <v>210</v>
      </c>
      <c r="I61" s="159">
        <v>210</v>
      </c>
      <c r="J61" s="160"/>
      <c r="K61" s="49">
        <f t="shared" si="0"/>
        <v>210</v>
      </c>
      <c r="L61" s="62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</row>
    <row r="62" spans="1:59" x14ac:dyDescent="0.3">
      <c r="A62" s="161"/>
      <c r="B62" s="170"/>
      <c r="C62" s="156"/>
      <c r="D62" s="157"/>
      <c r="E62" s="12"/>
      <c r="F62" s="171"/>
      <c r="G62" s="171"/>
      <c r="H62" s="171"/>
      <c r="I62" s="159"/>
      <c r="J62" s="12"/>
      <c r="K62" s="49">
        <f t="shared" si="0"/>
        <v>0</v>
      </c>
      <c r="L62" s="62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>
        <f>+AR62+AQ62+AP62+AN62+AM62+AL62+AK62+AJ62+AI62+AH62+AG62+AF62+AE62+AD62+AC62+AB62+AA62+Z62+Y62+X62+W62+V62+U62+T62+S62+R62+Q62+P62+O62+N62+M62</f>
        <v>0</v>
      </c>
    </row>
    <row r="63" spans="1:59" ht="18" x14ac:dyDescent="0.35">
      <c r="A63" s="11"/>
      <c r="B63" s="167" t="s">
        <v>588</v>
      </c>
      <c r="C63" s="168"/>
      <c r="D63" s="48">
        <f t="shared" ref="D63:J63" si="7">SUM(D40:D62)</f>
        <v>6587.4</v>
      </c>
      <c r="E63" s="48">
        <f t="shared" si="7"/>
        <v>0</v>
      </c>
      <c r="F63" s="48">
        <f t="shared" si="7"/>
        <v>0</v>
      </c>
      <c r="G63" s="48">
        <f t="shared" si="7"/>
        <v>1771</v>
      </c>
      <c r="H63" s="48">
        <f t="shared" si="7"/>
        <v>4799.8999999999996</v>
      </c>
      <c r="I63" s="48">
        <f t="shared" si="7"/>
        <v>6587.4</v>
      </c>
      <c r="J63" s="48">
        <f t="shared" si="7"/>
        <v>3325.5499999999997</v>
      </c>
      <c r="K63" s="48">
        <f t="shared" si="0"/>
        <v>3261.85</v>
      </c>
      <c r="L63" s="62"/>
      <c r="M63" s="64">
        <f t="shared" ref="M63:AN63" si="8">SUM(M40:M62)</f>
        <v>0</v>
      </c>
      <c r="N63" s="64">
        <f t="shared" si="8"/>
        <v>0</v>
      </c>
      <c r="O63" s="64">
        <f t="shared" si="8"/>
        <v>0</v>
      </c>
      <c r="P63" s="64">
        <f t="shared" si="8"/>
        <v>0</v>
      </c>
      <c r="Q63" s="64">
        <f t="shared" si="8"/>
        <v>0</v>
      </c>
      <c r="R63" s="64">
        <f t="shared" si="8"/>
        <v>0</v>
      </c>
      <c r="S63" s="64">
        <f t="shared" si="8"/>
        <v>0</v>
      </c>
      <c r="T63" s="64">
        <f t="shared" si="8"/>
        <v>0</v>
      </c>
      <c r="U63" s="64">
        <f t="shared" si="8"/>
        <v>0</v>
      </c>
      <c r="V63" s="64">
        <f t="shared" si="8"/>
        <v>0</v>
      </c>
      <c r="W63" s="64">
        <f t="shared" si="8"/>
        <v>0</v>
      </c>
      <c r="X63" s="64">
        <f t="shared" si="8"/>
        <v>0</v>
      </c>
      <c r="Y63" s="64">
        <f t="shared" si="8"/>
        <v>0</v>
      </c>
      <c r="Z63" s="64">
        <f t="shared" si="8"/>
        <v>0</v>
      </c>
      <c r="AA63" s="64">
        <f t="shared" si="8"/>
        <v>0</v>
      </c>
      <c r="AB63" s="64">
        <f t="shared" si="8"/>
        <v>0</v>
      </c>
      <c r="AC63" s="64">
        <f t="shared" si="8"/>
        <v>0</v>
      </c>
      <c r="AD63" s="64">
        <f t="shared" si="8"/>
        <v>0</v>
      </c>
      <c r="AE63" s="64">
        <f t="shared" si="8"/>
        <v>0</v>
      </c>
      <c r="AF63" s="64">
        <f t="shared" si="8"/>
        <v>0</v>
      </c>
      <c r="AG63" s="64">
        <f t="shared" si="8"/>
        <v>0</v>
      </c>
      <c r="AH63" s="64">
        <f t="shared" si="8"/>
        <v>0</v>
      </c>
      <c r="AI63" s="64">
        <f t="shared" si="8"/>
        <v>0</v>
      </c>
      <c r="AJ63" s="64">
        <f t="shared" si="8"/>
        <v>0</v>
      </c>
      <c r="AK63" s="64">
        <f t="shared" si="8"/>
        <v>0</v>
      </c>
      <c r="AL63" s="64">
        <f t="shared" si="8"/>
        <v>0</v>
      </c>
      <c r="AM63" s="64">
        <f t="shared" si="8"/>
        <v>0</v>
      </c>
      <c r="AN63" s="64">
        <f t="shared" si="8"/>
        <v>0</v>
      </c>
      <c r="AO63" s="64"/>
      <c r="AP63" s="64">
        <f t="shared" ref="AP63:BA63" si="9">SUM(AP40:AP62)</f>
        <v>0</v>
      </c>
      <c r="AQ63" s="64">
        <f t="shared" si="9"/>
        <v>0</v>
      </c>
      <c r="AR63" s="64">
        <f t="shared" si="9"/>
        <v>0</v>
      </c>
      <c r="AS63" s="64">
        <f t="shared" si="9"/>
        <v>0</v>
      </c>
      <c r="AT63" s="64">
        <f t="shared" si="9"/>
        <v>0</v>
      </c>
      <c r="AU63" s="64">
        <f t="shared" si="9"/>
        <v>0</v>
      </c>
      <c r="AV63" s="64">
        <f t="shared" si="9"/>
        <v>0</v>
      </c>
      <c r="AW63" s="64">
        <f t="shared" si="9"/>
        <v>0</v>
      </c>
      <c r="AX63" s="64">
        <f t="shared" si="9"/>
        <v>0</v>
      </c>
      <c r="AY63" s="64">
        <f t="shared" si="9"/>
        <v>0</v>
      </c>
      <c r="AZ63" s="64">
        <f t="shared" si="9"/>
        <v>0</v>
      </c>
      <c r="BA63" s="64">
        <f t="shared" si="9"/>
        <v>0</v>
      </c>
      <c r="BB63" s="64"/>
      <c r="BC63" s="64"/>
      <c r="BD63" s="64"/>
      <c r="BE63" s="64"/>
      <c r="BF63" s="64"/>
      <c r="BG63" s="64">
        <f>SUM(BG40:BG62)</f>
        <v>0</v>
      </c>
    </row>
    <row r="64" spans="1:59" x14ac:dyDescent="0.3">
      <c r="A64" s="11"/>
      <c r="B64" s="11"/>
      <c r="C64" s="156"/>
      <c r="D64" s="172"/>
      <c r="E64" s="173"/>
      <c r="F64" s="162"/>
      <c r="G64" s="162"/>
      <c r="H64" s="162"/>
      <c r="I64" s="159"/>
      <c r="J64" s="11"/>
      <c r="K64" s="49"/>
      <c r="L64" s="62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</row>
    <row r="65" spans="1:59" x14ac:dyDescent="0.3">
      <c r="A65" s="180">
        <v>46093</v>
      </c>
      <c r="B65" s="165" t="s">
        <v>803</v>
      </c>
      <c r="C65" s="156" t="s">
        <v>489</v>
      </c>
      <c r="D65" s="157">
        <f t="shared" ref="D65:D87" si="10">+I65-E65</f>
        <v>7640</v>
      </c>
      <c r="E65" s="12"/>
      <c r="F65" s="162"/>
      <c r="G65" s="162"/>
      <c r="H65" s="162">
        <v>7640</v>
      </c>
      <c r="I65" s="159">
        <v>7640</v>
      </c>
      <c r="J65" s="160"/>
      <c r="K65" s="49">
        <f t="shared" ref="K65" si="11">I65-J65</f>
        <v>7640</v>
      </c>
      <c r="L65" s="62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</row>
    <row r="66" spans="1:59" x14ac:dyDescent="0.3">
      <c r="A66" s="180">
        <v>46093</v>
      </c>
      <c r="B66" s="408" t="s">
        <v>801</v>
      </c>
      <c r="C66" s="156" t="s">
        <v>783</v>
      </c>
      <c r="D66" s="157">
        <f t="shared" si="10"/>
        <v>367.5</v>
      </c>
      <c r="E66" s="173"/>
      <c r="F66" s="162"/>
      <c r="G66" s="162"/>
      <c r="H66" s="162">
        <v>367.5</v>
      </c>
      <c r="I66" s="159">
        <v>367.5</v>
      </c>
      <c r="J66" s="11">
        <v>367.5</v>
      </c>
      <c r="K66" s="49">
        <f t="shared" si="0"/>
        <v>0</v>
      </c>
      <c r="L66" s="62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</row>
    <row r="67" spans="1:59" x14ac:dyDescent="0.3">
      <c r="A67" s="180">
        <v>46093</v>
      </c>
      <c r="B67" s="12" t="s">
        <v>802</v>
      </c>
      <c r="C67" s="156" t="s">
        <v>784</v>
      </c>
      <c r="D67" s="157">
        <f t="shared" si="10"/>
        <v>420</v>
      </c>
      <c r="E67" s="173"/>
      <c r="F67" s="162"/>
      <c r="G67" s="162"/>
      <c r="H67" s="162">
        <v>420</v>
      </c>
      <c r="I67" s="159">
        <v>420</v>
      </c>
      <c r="J67" s="11">
        <v>420</v>
      </c>
      <c r="K67" s="49">
        <f t="shared" si="0"/>
        <v>0</v>
      </c>
      <c r="L67" s="62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</row>
    <row r="68" spans="1:59" x14ac:dyDescent="0.3">
      <c r="A68" s="180">
        <v>46093</v>
      </c>
      <c r="B68" s="12" t="s">
        <v>820</v>
      </c>
      <c r="C68" s="156" t="s">
        <v>785</v>
      </c>
      <c r="D68" s="157">
        <f t="shared" si="10"/>
        <v>577.5</v>
      </c>
      <c r="E68" s="173"/>
      <c r="F68" s="162"/>
      <c r="G68" s="162"/>
      <c r="H68" s="162"/>
      <c r="I68" s="159">
        <v>577.5</v>
      </c>
      <c r="J68" s="11"/>
      <c r="K68" s="49">
        <f t="shared" si="0"/>
        <v>577.5</v>
      </c>
      <c r="L68" s="62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</row>
    <row r="69" spans="1:59" x14ac:dyDescent="0.3">
      <c r="A69" s="180">
        <v>46093</v>
      </c>
      <c r="B69" s="165" t="s">
        <v>804</v>
      </c>
      <c r="C69" s="156" t="s">
        <v>786</v>
      </c>
      <c r="D69" s="157">
        <f t="shared" si="10"/>
        <v>288.75</v>
      </c>
      <c r="E69" s="173"/>
      <c r="F69" s="162"/>
      <c r="G69" s="162"/>
      <c r="H69" s="162">
        <v>288.75</v>
      </c>
      <c r="I69" s="159">
        <v>288.75</v>
      </c>
      <c r="J69" s="11"/>
      <c r="K69" s="49">
        <f t="shared" si="0"/>
        <v>288.75</v>
      </c>
      <c r="L69" s="62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</row>
    <row r="70" spans="1:59" x14ac:dyDescent="0.3">
      <c r="A70" s="180">
        <v>46093</v>
      </c>
      <c r="B70" s="12" t="s">
        <v>805</v>
      </c>
      <c r="C70" s="156" t="s">
        <v>787</v>
      </c>
      <c r="D70" s="157">
        <f t="shared" si="10"/>
        <v>3418.08</v>
      </c>
      <c r="E70" s="173"/>
      <c r="F70" s="162"/>
      <c r="G70" s="162"/>
      <c r="H70" s="162">
        <v>3418.08</v>
      </c>
      <c r="I70" s="159">
        <v>3418.08</v>
      </c>
      <c r="J70" s="11"/>
      <c r="K70" s="49">
        <f t="shared" si="0"/>
        <v>3418.08</v>
      </c>
      <c r="L70" s="62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</row>
    <row r="71" spans="1:59" x14ac:dyDescent="0.3">
      <c r="A71" s="180">
        <v>46094</v>
      </c>
      <c r="B71" s="12" t="s">
        <v>806</v>
      </c>
      <c r="C71" s="156" t="s">
        <v>788</v>
      </c>
      <c r="D71" s="157">
        <f t="shared" si="10"/>
        <v>140</v>
      </c>
      <c r="E71" s="173"/>
      <c r="F71" s="162"/>
      <c r="G71" s="162">
        <v>140</v>
      </c>
      <c r="H71" s="162"/>
      <c r="I71" s="159">
        <v>140</v>
      </c>
      <c r="J71" s="11">
        <v>140</v>
      </c>
      <c r="K71" s="49">
        <f t="shared" si="0"/>
        <v>0</v>
      </c>
      <c r="L71" s="62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</row>
    <row r="72" spans="1:59" x14ac:dyDescent="0.3">
      <c r="A72" s="180">
        <v>46101</v>
      </c>
      <c r="B72" s="408" t="s">
        <v>809</v>
      </c>
      <c r="C72" s="156" t="s">
        <v>789</v>
      </c>
      <c r="D72" s="157">
        <f t="shared" si="10"/>
        <v>183.75</v>
      </c>
      <c r="E72" s="173"/>
      <c r="F72" s="162"/>
      <c r="G72" s="162"/>
      <c r="H72" s="162">
        <v>183.75</v>
      </c>
      <c r="I72" s="159">
        <v>183.75</v>
      </c>
      <c r="J72" s="11">
        <v>183.75</v>
      </c>
      <c r="K72" s="49">
        <f t="shared" si="0"/>
        <v>0</v>
      </c>
      <c r="L72" s="62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59" x14ac:dyDescent="0.3">
      <c r="A73" s="180">
        <v>46104</v>
      </c>
      <c r="B73" s="12" t="s">
        <v>810</v>
      </c>
      <c r="C73" s="156" t="s">
        <v>790</v>
      </c>
      <c r="D73" s="157">
        <f t="shared" si="10"/>
        <v>553</v>
      </c>
      <c r="E73" s="173"/>
      <c r="F73" s="162"/>
      <c r="G73" s="162"/>
      <c r="H73" s="162">
        <v>553</v>
      </c>
      <c r="I73" s="159">
        <v>553</v>
      </c>
      <c r="J73" s="11">
        <v>553</v>
      </c>
      <c r="K73" s="49">
        <f t="shared" si="0"/>
        <v>0</v>
      </c>
      <c r="L73" s="62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59" x14ac:dyDescent="0.3">
      <c r="A74" s="180">
        <v>46104</v>
      </c>
      <c r="B74" s="12" t="s">
        <v>811</v>
      </c>
      <c r="C74" s="156" t="s">
        <v>791</v>
      </c>
      <c r="D74" s="157">
        <f t="shared" si="10"/>
        <v>100</v>
      </c>
      <c r="E74" s="173"/>
      <c r="F74" s="162"/>
      <c r="G74" s="162"/>
      <c r="H74" s="162">
        <v>100</v>
      </c>
      <c r="I74" s="159">
        <v>100</v>
      </c>
      <c r="J74" s="11">
        <v>100</v>
      </c>
      <c r="K74" s="49">
        <f t="shared" si="0"/>
        <v>0</v>
      </c>
      <c r="L74" s="62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59" x14ac:dyDescent="0.3">
      <c r="A75" s="180">
        <v>46107</v>
      </c>
      <c r="B75" s="12" t="s">
        <v>812</v>
      </c>
      <c r="C75" s="156" t="s">
        <v>792</v>
      </c>
      <c r="D75" s="157">
        <f t="shared" si="10"/>
        <v>420</v>
      </c>
      <c r="E75" s="173"/>
      <c r="F75" s="162"/>
      <c r="G75" s="162"/>
      <c r="H75" s="162">
        <v>420</v>
      </c>
      <c r="I75" s="159">
        <v>420</v>
      </c>
      <c r="J75" s="11">
        <v>420</v>
      </c>
      <c r="K75" s="49">
        <f t="shared" si="0"/>
        <v>0</v>
      </c>
      <c r="L75" s="62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59" x14ac:dyDescent="0.3">
      <c r="A76" s="180">
        <v>46110</v>
      </c>
      <c r="B76" s="12" t="s">
        <v>819</v>
      </c>
      <c r="C76" s="156" t="s">
        <v>793</v>
      </c>
      <c r="D76" s="157">
        <f t="shared" si="10"/>
        <v>250</v>
      </c>
      <c r="E76" s="173"/>
      <c r="F76" s="162"/>
      <c r="G76" s="162"/>
      <c r="H76" s="162">
        <v>250</v>
      </c>
      <c r="I76" s="159">
        <v>250</v>
      </c>
      <c r="J76" s="11">
        <v>250</v>
      </c>
      <c r="K76" s="49">
        <f t="shared" si="0"/>
        <v>0</v>
      </c>
      <c r="L76" s="62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59" x14ac:dyDescent="0.3">
      <c r="A77" s="180">
        <v>46110</v>
      </c>
      <c r="B77" s="328" t="s">
        <v>813</v>
      </c>
      <c r="C77" s="156" t="s">
        <v>794</v>
      </c>
      <c r="D77" s="157">
        <f t="shared" si="10"/>
        <v>600</v>
      </c>
      <c r="E77" s="173"/>
      <c r="F77" s="162"/>
      <c r="G77" s="162"/>
      <c r="H77" s="162">
        <v>182.7</v>
      </c>
      <c r="I77" s="159">
        <v>600</v>
      </c>
      <c r="J77" s="11"/>
      <c r="K77" s="49">
        <f t="shared" si="0"/>
        <v>600</v>
      </c>
      <c r="L77" s="62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59" x14ac:dyDescent="0.3">
      <c r="A78" s="180">
        <v>46110</v>
      </c>
      <c r="B78" s="12" t="s">
        <v>814</v>
      </c>
      <c r="C78" s="156" t="s">
        <v>795</v>
      </c>
      <c r="D78" s="157">
        <f t="shared" si="10"/>
        <v>182.7</v>
      </c>
      <c r="E78" s="173"/>
      <c r="F78" s="162"/>
      <c r="G78" s="162"/>
      <c r="H78" s="162">
        <v>210</v>
      </c>
      <c r="I78" s="159">
        <v>182.7</v>
      </c>
      <c r="J78" s="11">
        <v>182.7</v>
      </c>
      <c r="K78" s="49">
        <f t="shared" si="0"/>
        <v>0</v>
      </c>
      <c r="L78" s="62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59" x14ac:dyDescent="0.3">
      <c r="A79" s="180">
        <v>46110</v>
      </c>
      <c r="B79" s="12" t="s">
        <v>815</v>
      </c>
      <c r="C79" s="156" t="s">
        <v>796</v>
      </c>
      <c r="D79" s="157">
        <f t="shared" si="10"/>
        <v>210</v>
      </c>
      <c r="E79" s="173"/>
      <c r="F79" s="162"/>
      <c r="G79" s="162"/>
      <c r="H79" s="162">
        <v>210</v>
      </c>
      <c r="I79" s="159">
        <v>210</v>
      </c>
      <c r="J79" s="11"/>
      <c r="K79" s="49">
        <f t="shared" si="0"/>
        <v>210</v>
      </c>
      <c r="L79" s="62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59" x14ac:dyDescent="0.3">
      <c r="A80" s="180">
        <v>46112</v>
      </c>
      <c r="B80" s="328" t="s">
        <v>816</v>
      </c>
      <c r="C80" s="156" t="s">
        <v>797</v>
      </c>
      <c r="D80" s="157">
        <f t="shared" si="10"/>
        <v>1308</v>
      </c>
      <c r="E80" s="173"/>
      <c r="F80" s="162"/>
      <c r="G80" s="162"/>
      <c r="H80" s="162">
        <v>1308</v>
      </c>
      <c r="I80" s="159">
        <v>1308</v>
      </c>
      <c r="J80" s="160">
        <v>1300</v>
      </c>
      <c r="K80" s="333">
        <f t="shared" si="0"/>
        <v>8</v>
      </c>
      <c r="L80" s="62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1:59" x14ac:dyDescent="0.3">
      <c r="A81" s="180">
        <v>46112</v>
      </c>
      <c r="B81" s="412" t="s">
        <v>817</v>
      </c>
      <c r="C81" s="156" t="s">
        <v>798</v>
      </c>
      <c r="D81" s="157">
        <f t="shared" si="10"/>
        <v>6281.4</v>
      </c>
      <c r="E81" s="173"/>
      <c r="F81" s="162"/>
      <c r="G81" s="162">
        <v>6281.4</v>
      </c>
      <c r="H81" s="162"/>
      <c r="I81" s="159">
        <v>6281.4</v>
      </c>
      <c r="J81" s="11"/>
      <c r="K81" s="49">
        <f t="shared" si="0"/>
        <v>6281.4</v>
      </c>
      <c r="L81" s="62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1:59" x14ac:dyDescent="0.3">
      <c r="A82" s="180">
        <v>46112</v>
      </c>
      <c r="B82" s="12" t="s">
        <v>818</v>
      </c>
      <c r="C82" s="156" t="s">
        <v>799</v>
      </c>
      <c r="D82" s="157">
        <f t="shared" si="10"/>
        <v>210</v>
      </c>
      <c r="E82" s="173"/>
      <c r="F82" s="162"/>
      <c r="G82" s="162"/>
      <c r="H82" s="162">
        <v>210</v>
      </c>
      <c r="I82" s="159">
        <v>210</v>
      </c>
      <c r="J82" s="11"/>
      <c r="K82" s="49">
        <f t="shared" si="0"/>
        <v>210</v>
      </c>
      <c r="L82" s="62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1:59" x14ac:dyDescent="0.3">
      <c r="A83" s="180">
        <v>46112</v>
      </c>
      <c r="B83" s="12" t="s">
        <v>829</v>
      </c>
      <c r="C83" s="156" t="s">
        <v>824</v>
      </c>
      <c r="D83" s="157">
        <f t="shared" si="10"/>
        <v>174</v>
      </c>
      <c r="E83" s="173"/>
      <c r="F83" s="162"/>
      <c r="G83" s="162"/>
      <c r="H83" s="162">
        <v>174</v>
      </c>
      <c r="I83" s="159">
        <v>174</v>
      </c>
      <c r="J83" s="11">
        <v>174</v>
      </c>
      <c r="K83" s="49">
        <f t="shared" si="0"/>
        <v>0</v>
      </c>
      <c r="L83" s="62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1:59" x14ac:dyDescent="0.3">
      <c r="A84" s="180">
        <v>46112</v>
      </c>
      <c r="B84" s="12" t="s">
        <v>830</v>
      </c>
      <c r="C84" s="156" t="s">
        <v>825</v>
      </c>
      <c r="D84" s="157">
        <f t="shared" si="10"/>
        <v>243.6</v>
      </c>
      <c r="E84" s="173"/>
      <c r="F84" s="162"/>
      <c r="G84" s="162"/>
      <c r="H84" s="162">
        <v>243.6</v>
      </c>
      <c r="I84" s="159">
        <v>243.6</v>
      </c>
      <c r="J84" s="11">
        <v>243.6</v>
      </c>
      <c r="K84" s="49">
        <f t="shared" si="0"/>
        <v>0</v>
      </c>
      <c r="L84" s="62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1:59" x14ac:dyDescent="0.3">
      <c r="A85" s="180">
        <v>46112</v>
      </c>
      <c r="B85" s="12" t="s">
        <v>904</v>
      </c>
      <c r="C85" s="156" t="s">
        <v>826</v>
      </c>
      <c r="D85" s="157">
        <f t="shared" si="10"/>
        <v>109</v>
      </c>
      <c r="E85" s="173"/>
      <c r="F85" s="162"/>
      <c r="G85" s="162"/>
      <c r="H85" s="162">
        <v>109</v>
      </c>
      <c r="I85" s="159">
        <v>109</v>
      </c>
      <c r="J85" s="159">
        <v>109</v>
      </c>
      <c r="K85" s="49">
        <f t="shared" si="0"/>
        <v>0</v>
      </c>
      <c r="L85" s="62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1:59" x14ac:dyDescent="0.3">
      <c r="A86" s="180">
        <v>46112</v>
      </c>
      <c r="B86" s="12" t="s">
        <v>831</v>
      </c>
      <c r="C86" s="156" t="s">
        <v>827</v>
      </c>
      <c r="D86" s="157">
        <f t="shared" si="10"/>
        <v>245</v>
      </c>
      <c r="E86" s="173"/>
      <c r="F86" s="162"/>
      <c r="G86" s="162">
        <v>245</v>
      </c>
      <c r="H86" s="162"/>
      <c r="I86" s="159">
        <v>245</v>
      </c>
      <c r="J86" s="11">
        <v>245</v>
      </c>
      <c r="K86" s="49">
        <f t="shared" si="0"/>
        <v>0</v>
      </c>
      <c r="L86" s="62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1:59" x14ac:dyDescent="0.3">
      <c r="A87" s="180">
        <v>46112</v>
      </c>
      <c r="B87" s="12" t="s">
        <v>832</v>
      </c>
      <c r="C87" s="156" t="s">
        <v>828</v>
      </c>
      <c r="D87" s="157">
        <f t="shared" si="10"/>
        <v>525</v>
      </c>
      <c r="E87" s="173"/>
      <c r="F87" s="162"/>
      <c r="G87" s="162">
        <v>525</v>
      </c>
      <c r="H87" s="162"/>
      <c r="I87" s="159">
        <v>525</v>
      </c>
      <c r="J87" s="11">
        <v>525</v>
      </c>
      <c r="K87" s="49">
        <f t="shared" si="0"/>
        <v>0</v>
      </c>
      <c r="L87" s="62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1:59" x14ac:dyDescent="0.3">
      <c r="A88" s="161"/>
      <c r="B88" s="12"/>
      <c r="C88" s="156"/>
      <c r="D88" s="157"/>
      <c r="E88" s="12"/>
      <c r="F88" s="162"/>
      <c r="G88" s="162"/>
      <c r="H88" s="162"/>
      <c r="I88" s="159"/>
      <c r="J88" s="11"/>
      <c r="K88" s="49"/>
      <c r="L88" s="62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>
        <f>+AP88+AN88+AM88+AL88+AK88+AJ88+AI88+AH88+AG88+AF88+AE88+AD88+AC88+AB88+AA88+Z88+Y88+X88+W88+V88+U88+T88+S88+R88+Q88+P88+O88+N88+M88</f>
        <v>0</v>
      </c>
    </row>
    <row r="89" spans="1:59" ht="18" x14ac:dyDescent="0.35">
      <c r="A89" s="11"/>
      <c r="B89" s="167" t="s">
        <v>833</v>
      </c>
      <c r="C89" s="168"/>
      <c r="D89" s="48">
        <f t="shared" ref="D89:J89" si="12">SUM(D64:D88)</f>
        <v>24447.279999999999</v>
      </c>
      <c r="E89" s="48">
        <f t="shared" si="12"/>
        <v>0</v>
      </c>
      <c r="F89" s="48">
        <f t="shared" si="12"/>
        <v>0</v>
      </c>
      <c r="G89" s="48">
        <f t="shared" si="12"/>
        <v>7191.4</v>
      </c>
      <c r="H89" s="48">
        <f t="shared" si="12"/>
        <v>16288.380000000001</v>
      </c>
      <c r="I89" s="48">
        <f t="shared" si="12"/>
        <v>24447.279999999999</v>
      </c>
      <c r="J89" s="48">
        <f t="shared" si="12"/>
        <v>5213.55</v>
      </c>
      <c r="K89" s="48">
        <f t="shared" si="0"/>
        <v>19233.73</v>
      </c>
      <c r="L89" s="62"/>
      <c r="M89" s="64">
        <f t="shared" ref="M89:AD89" si="13">SUM(M64:M88)</f>
        <v>0</v>
      </c>
      <c r="N89" s="64">
        <f t="shared" si="13"/>
        <v>0</v>
      </c>
      <c r="O89" s="64">
        <f t="shared" si="13"/>
        <v>0</v>
      </c>
      <c r="P89" s="64">
        <f t="shared" si="13"/>
        <v>0</v>
      </c>
      <c r="Q89" s="64">
        <f t="shared" si="13"/>
        <v>0</v>
      </c>
      <c r="R89" s="64">
        <f t="shared" si="13"/>
        <v>0</v>
      </c>
      <c r="S89" s="64">
        <f t="shared" si="13"/>
        <v>0</v>
      </c>
      <c r="T89" s="64">
        <f t="shared" si="13"/>
        <v>0</v>
      </c>
      <c r="U89" s="64">
        <f t="shared" si="13"/>
        <v>0</v>
      </c>
      <c r="V89" s="64">
        <f t="shared" si="13"/>
        <v>0</v>
      </c>
      <c r="W89" s="64">
        <f t="shared" si="13"/>
        <v>0</v>
      </c>
      <c r="X89" s="64">
        <f t="shared" si="13"/>
        <v>0</v>
      </c>
      <c r="Y89" s="64">
        <f t="shared" si="13"/>
        <v>0</v>
      </c>
      <c r="Z89" s="64">
        <f t="shared" si="13"/>
        <v>0</v>
      </c>
      <c r="AA89" s="64">
        <f t="shared" si="13"/>
        <v>0</v>
      </c>
      <c r="AB89" s="64">
        <f t="shared" si="13"/>
        <v>0</v>
      </c>
      <c r="AC89" s="64">
        <f t="shared" si="13"/>
        <v>0</v>
      </c>
      <c r="AD89" s="64">
        <f t="shared" si="13"/>
        <v>0</v>
      </c>
      <c r="AE89" s="64"/>
      <c r="AF89" s="64"/>
      <c r="AG89" s="64"/>
      <c r="AH89" s="64"/>
      <c r="AI89" s="64">
        <f t="shared" ref="AI89:AN89" si="14">SUM(AI64:AI88)</f>
        <v>0</v>
      </c>
      <c r="AJ89" s="64">
        <f t="shared" si="14"/>
        <v>0</v>
      </c>
      <c r="AK89" s="64">
        <f t="shared" si="14"/>
        <v>0</v>
      </c>
      <c r="AL89" s="64">
        <f t="shared" si="14"/>
        <v>0</v>
      </c>
      <c r="AM89" s="64">
        <f t="shared" si="14"/>
        <v>0</v>
      </c>
      <c r="AN89" s="64">
        <f t="shared" si="14"/>
        <v>0</v>
      </c>
      <c r="AO89" s="64"/>
      <c r="AP89" s="64">
        <f t="shared" ref="AP89:BA89" si="15">SUM(AP64:AP88)</f>
        <v>0</v>
      </c>
      <c r="AQ89" s="64">
        <f t="shared" si="15"/>
        <v>0</v>
      </c>
      <c r="AR89" s="64">
        <f t="shared" si="15"/>
        <v>0</v>
      </c>
      <c r="AS89" s="64">
        <f t="shared" si="15"/>
        <v>0</v>
      </c>
      <c r="AT89" s="64">
        <f t="shared" si="15"/>
        <v>0</v>
      </c>
      <c r="AU89" s="64">
        <f t="shared" si="15"/>
        <v>0</v>
      </c>
      <c r="AV89" s="64">
        <f t="shared" si="15"/>
        <v>0</v>
      </c>
      <c r="AW89" s="64">
        <f t="shared" si="15"/>
        <v>0</v>
      </c>
      <c r="AX89" s="64">
        <f t="shared" si="15"/>
        <v>0</v>
      </c>
      <c r="AY89" s="64">
        <f t="shared" si="15"/>
        <v>0</v>
      </c>
      <c r="AZ89" s="64">
        <f t="shared" si="15"/>
        <v>0</v>
      </c>
      <c r="BA89" s="64">
        <f t="shared" si="15"/>
        <v>0</v>
      </c>
      <c r="BB89" s="64"/>
      <c r="BC89" s="64"/>
      <c r="BD89" s="64"/>
      <c r="BE89" s="64"/>
      <c r="BF89" s="64"/>
      <c r="BG89" s="64">
        <f>SUM(BG64:BG88)</f>
        <v>0</v>
      </c>
    </row>
    <row r="90" spans="1:59" x14ac:dyDescent="0.3">
      <c r="A90" s="11"/>
      <c r="B90" s="12"/>
      <c r="C90" s="156"/>
      <c r="D90" s="157"/>
      <c r="E90" s="12"/>
      <c r="F90" s="162"/>
      <c r="G90" s="162"/>
      <c r="H90" s="162"/>
      <c r="I90" s="159"/>
      <c r="J90" s="11"/>
      <c r="L90" s="62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1:59" x14ac:dyDescent="0.3">
      <c r="A91" s="180">
        <v>46122</v>
      </c>
      <c r="B91" s="12" t="s">
        <v>834</v>
      </c>
      <c r="C91" s="156" t="s">
        <v>905</v>
      </c>
      <c r="D91" s="157">
        <f t="shared" ref="D91:D110" si="16">+I91-E91</f>
        <v>405</v>
      </c>
      <c r="E91" s="12"/>
      <c r="F91" s="162"/>
      <c r="G91" s="162">
        <v>405</v>
      </c>
      <c r="H91" s="162"/>
      <c r="I91" s="159">
        <v>405</v>
      </c>
      <c r="J91" s="11">
        <v>405</v>
      </c>
      <c r="K91" s="49">
        <f t="shared" si="0"/>
        <v>0</v>
      </c>
      <c r="L91" s="62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1:59" x14ac:dyDescent="0.3">
      <c r="A92" s="180">
        <v>46141</v>
      </c>
      <c r="B92" s="165" t="s">
        <v>915</v>
      </c>
      <c r="C92" s="156" t="s">
        <v>906</v>
      </c>
      <c r="D92" s="157">
        <f t="shared" si="16"/>
        <v>56900</v>
      </c>
      <c r="E92" s="12"/>
      <c r="F92" s="162"/>
      <c r="G92" s="162">
        <v>56900</v>
      </c>
      <c r="H92" s="162"/>
      <c r="I92" s="159">
        <v>56900</v>
      </c>
      <c r="J92" s="11"/>
      <c r="K92" s="49">
        <f t="shared" si="0"/>
        <v>56900</v>
      </c>
      <c r="L92" s="62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1:59" x14ac:dyDescent="0.3">
      <c r="A93" s="180">
        <v>46141</v>
      </c>
      <c r="B93" s="408" t="s">
        <v>909</v>
      </c>
      <c r="C93" s="156" t="s">
        <v>907</v>
      </c>
      <c r="D93" s="157">
        <f t="shared" si="16"/>
        <v>367.5</v>
      </c>
      <c r="E93" s="12"/>
      <c r="F93" s="162"/>
      <c r="G93" s="162"/>
      <c r="H93" s="162">
        <v>367.5</v>
      </c>
      <c r="I93" s="159">
        <v>367.5</v>
      </c>
      <c r="J93" s="160">
        <v>367.5</v>
      </c>
      <c r="K93" s="49">
        <f t="shared" si="0"/>
        <v>0</v>
      </c>
      <c r="L93" s="62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1:59" x14ac:dyDescent="0.3">
      <c r="A94" s="180">
        <v>46141</v>
      </c>
      <c r="B94" s="408" t="s">
        <v>910</v>
      </c>
      <c r="C94" s="156" t="s">
        <v>908</v>
      </c>
      <c r="D94" s="157">
        <f t="shared" si="16"/>
        <v>183.75</v>
      </c>
      <c r="E94" s="12"/>
      <c r="F94" s="162"/>
      <c r="G94" s="162"/>
      <c r="H94" s="162">
        <v>183.75</v>
      </c>
      <c r="I94" s="159">
        <v>183.75</v>
      </c>
      <c r="J94" s="11">
        <v>183.75</v>
      </c>
      <c r="K94" s="49">
        <f t="shared" si="0"/>
        <v>0</v>
      </c>
      <c r="L94" s="62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1:59" x14ac:dyDescent="0.3">
      <c r="A95" s="180">
        <v>46142</v>
      </c>
      <c r="B95" s="12" t="s">
        <v>920</v>
      </c>
      <c r="C95" s="156" t="s">
        <v>916</v>
      </c>
      <c r="D95" s="157">
        <f t="shared" si="16"/>
        <v>577.5</v>
      </c>
      <c r="E95" s="12"/>
      <c r="F95" s="162"/>
      <c r="G95" s="162"/>
      <c r="H95" s="162">
        <v>577.5</v>
      </c>
      <c r="I95" s="159">
        <v>577.5</v>
      </c>
      <c r="J95" s="11"/>
      <c r="K95" s="49">
        <f t="shared" si="0"/>
        <v>577.5</v>
      </c>
      <c r="L95" s="62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1:59" x14ac:dyDescent="0.3">
      <c r="A96" s="180">
        <v>46142</v>
      </c>
      <c r="B96" s="165" t="s">
        <v>921</v>
      </c>
      <c r="C96" s="156" t="s">
        <v>917</v>
      </c>
      <c r="D96" s="157">
        <f t="shared" si="16"/>
        <v>288.75</v>
      </c>
      <c r="E96" s="12"/>
      <c r="F96" s="162"/>
      <c r="G96" s="162"/>
      <c r="H96" s="162">
        <v>288.75</v>
      </c>
      <c r="I96" s="159">
        <v>288.75</v>
      </c>
      <c r="J96" s="11"/>
      <c r="K96" s="49">
        <f t="shared" si="0"/>
        <v>288.75</v>
      </c>
      <c r="L96" s="62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1:59" x14ac:dyDescent="0.3">
      <c r="A97" s="180">
        <v>46142</v>
      </c>
      <c r="B97" s="12" t="s">
        <v>922</v>
      </c>
      <c r="C97" s="156" t="s">
        <v>918</v>
      </c>
      <c r="D97" s="157">
        <f t="shared" si="16"/>
        <v>420</v>
      </c>
      <c r="E97" s="12"/>
      <c r="F97" s="162"/>
      <c r="G97" s="162"/>
      <c r="H97" s="162">
        <v>420</v>
      </c>
      <c r="I97" s="159">
        <v>420</v>
      </c>
      <c r="J97" s="11">
        <v>420</v>
      </c>
      <c r="K97" s="49">
        <f t="shared" si="0"/>
        <v>0</v>
      </c>
      <c r="L97" s="62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1:59" x14ac:dyDescent="0.3">
      <c r="A98" s="180">
        <v>46142</v>
      </c>
      <c r="B98" s="12" t="s">
        <v>923</v>
      </c>
      <c r="C98" s="156" t="s">
        <v>919</v>
      </c>
      <c r="D98" s="157">
        <f t="shared" si="16"/>
        <v>420</v>
      </c>
      <c r="E98" s="12"/>
      <c r="F98" s="162"/>
      <c r="G98" s="162"/>
      <c r="H98" s="162">
        <v>420</v>
      </c>
      <c r="I98" s="159">
        <v>420</v>
      </c>
      <c r="J98" s="11">
        <v>420</v>
      </c>
      <c r="K98" s="49">
        <f t="shared" si="0"/>
        <v>0</v>
      </c>
      <c r="L98" s="62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1:59" x14ac:dyDescent="0.3">
      <c r="A99" s="180">
        <v>46142</v>
      </c>
      <c r="B99" s="12" t="s">
        <v>1050</v>
      </c>
      <c r="C99" s="156" t="s">
        <v>1044</v>
      </c>
      <c r="D99" s="157">
        <f t="shared" si="16"/>
        <v>6562.5</v>
      </c>
      <c r="E99" s="12"/>
      <c r="F99" s="162"/>
      <c r="G99" s="162">
        <v>6562.5</v>
      </c>
      <c r="H99" s="162"/>
      <c r="I99" s="159">
        <v>6562.5</v>
      </c>
      <c r="J99" s="11"/>
      <c r="K99" s="49">
        <f t="shared" si="0"/>
        <v>6562.5</v>
      </c>
      <c r="L99" s="62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1:59" x14ac:dyDescent="0.3">
      <c r="A100" s="180">
        <v>46142</v>
      </c>
      <c r="B100" s="12" t="s">
        <v>1051</v>
      </c>
      <c r="C100" s="156" t="s">
        <v>1045</v>
      </c>
      <c r="D100" s="157">
        <f t="shared" si="16"/>
        <v>400</v>
      </c>
      <c r="E100" s="12"/>
      <c r="F100" s="162"/>
      <c r="G100" s="162"/>
      <c r="H100" s="162">
        <v>400</v>
      </c>
      <c r="I100" s="159">
        <v>400</v>
      </c>
      <c r="J100" s="11"/>
      <c r="K100" s="49">
        <f t="shared" ref="K100:K110" si="17">I100-J100</f>
        <v>400</v>
      </c>
      <c r="L100" s="62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1:59" x14ac:dyDescent="0.3">
      <c r="A101" s="180">
        <v>46142</v>
      </c>
      <c r="B101" s="12" t="s">
        <v>1052</v>
      </c>
      <c r="C101" s="156" t="s">
        <v>1046</v>
      </c>
      <c r="D101" s="157">
        <f t="shared" si="16"/>
        <v>400</v>
      </c>
      <c r="E101" s="12"/>
      <c r="F101" s="162"/>
      <c r="G101" s="162"/>
      <c r="H101" s="162">
        <v>400</v>
      </c>
      <c r="I101" s="159">
        <v>400</v>
      </c>
      <c r="J101" s="11"/>
      <c r="K101" s="49">
        <f t="shared" si="17"/>
        <v>400</v>
      </c>
      <c r="L101" s="62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1:59" x14ac:dyDescent="0.3">
      <c r="A102" s="180">
        <v>46142</v>
      </c>
      <c r="B102" s="328" t="s">
        <v>1053</v>
      </c>
      <c r="C102" s="156" t="s">
        <v>1047</v>
      </c>
      <c r="D102" s="157">
        <f t="shared" si="16"/>
        <v>600</v>
      </c>
      <c r="E102" s="12"/>
      <c r="F102" s="162"/>
      <c r="G102" s="162"/>
      <c r="H102" s="162">
        <v>600</v>
      </c>
      <c r="I102" s="159">
        <v>600</v>
      </c>
      <c r="J102" s="11"/>
      <c r="K102" s="49">
        <f t="shared" si="17"/>
        <v>600</v>
      </c>
      <c r="L102" s="62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1:59" x14ac:dyDescent="0.3">
      <c r="A103" s="180">
        <v>46142</v>
      </c>
      <c r="B103" s="328" t="s">
        <v>1054</v>
      </c>
      <c r="C103" s="156" t="s">
        <v>1048</v>
      </c>
      <c r="D103" s="157">
        <f t="shared" si="16"/>
        <v>600</v>
      </c>
      <c r="E103" s="12"/>
      <c r="F103" s="162"/>
      <c r="G103" s="162"/>
      <c r="H103" s="162">
        <v>600</v>
      </c>
      <c r="I103" s="159">
        <v>600</v>
      </c>
      <c r="J103" s="160"/>
      <c r="K103" s="49">
        <f t="shared" si="17"/>
        <v>600</v>
      </c>
      <c r="L103" s="62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1:59" x14ac:dyDescent="0.3">
      <c r="A104" s="180">
        <v>46142</v>
      </c>
      <c r="B104" s="165" t="s">
        <v>1055</v>
      </c>
      <c r="C104" s="156" t="s">
        <v>1049</v>
      </c>
      <c r="D104" s="157">
        <f t="shared" si="16"/>
        <v>450</v>
      </c>
      <c r="E104" s="12"/>
      <c r="F104" s="162"/>
      <c r="G104" s="162"/>
      <c r="H104" s="162">
        <v>450</v>
      </c>
      <c r="I104" s="159">
        <v>450</v>
      </c>
      <c r="J104" s="11">
        <v>450</v>
      </c>
      <c r="K104" s="49">
        <f t="shared" si="17"/>
        <v>0</v>
      </c>
      <c r="L104" s="62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1:59" x14ac:dyDescent="0.3">
      <c r="A105" s="180">
        <v>46142</v>
      </c>
      <c r="B105" s="12" t="s">
        <v>1068</v>
      </c>
      <c r="C105" s="156" t="s">
        <v>1056</v>
      </c>
      <c r="D105" s="157">
        <f t="shared" si="16"/>
        <v>250</v>
      </c>
      <c r="E105" s="12"/>
      <c r="F105" s="162"/>
      <c r="G105" s="162"/>
      <c r="H105" s="162">
        <v>250</v>
      </c>
      <c r="I105" s="159">
        <v>250</v>
      </c>
      <c r="J105" s="11">
        <v>250</v>
      </c>
      <c r="K105" s="49">
        <f t="shared" si="17"/>
        <v>0</v>
      </c>
      <c r="L105" s="62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1:59" x14ac:dyDescent="0.3">
      <c r="A106" s="180">
        <v>46142</v>
      </c>
      <c r="B106" s="12" t="s">
        <v>1061</v>
      </c>
      <c r="C106" s="156" t="s">
        <v>1057</v>
      </c>
      <c r="D106" s="157">
        <f t="shared" si="16"/>
        <v>174</v>
      </c>
      <c r="E106" s="12"/>
      <c r="F106" s="162"/>
      <c r="G106" s="162"/>
      <c r="H106" s="162">
        <v>174</v>
      </c>
      <c r="I106" s="159">
        <v>174</v>
      </c>
      <c r="J106" s="11"/>
      <c r="K106" s="49">
        <f t="shared" si="17"/>
        <v>174</v>
      </c>
      <c r="L106" s="62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1:59" x14ac:dyDescent="0.3">
      <c r="A107" s="180">
        <v>46142</v>
      </c>
      <c r="B107" s="12" t="s">
        <v>1062</v>
      </c>
      <c r="C107" s="156" t="s">
        <v>1058</v>
      </c>
      <c r="D107" s="157">
        <f t="shared" si="16"/>
        <v>200</v>
      </c>
      <c r="E107" s="12"/>
      <c r="F107" s="162"/>
      <c r="G107" s="162"/>
      <c r="H107" s="162">
        <v>200</v>
      </c>
      <c r="I107" s="159">
        <v>200</v>
      </c>
      <c r="J107" s="11"/>
      <c r="K107" s="49">
        <f t="shared" si="17"/>
        <v>200</v>
      </c>
      <c r="L107" s="62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1:59" x14ac:dyDescent="0.3">
      <c r="A108" s="180">
        <v>46142</v>
      </c>
      <c r="B108" s="12" t="s">
        <v>1069</v>
      </c>
      <c r="C108" s="156" t="s">
        <v>1059</v>
      </c>
      <c r="D108" s="157">
        <f t="shared" si="16"/>
        <v>210</v>
      </c>
      <c r="E108" s="12"/>
      <c r="F108" s="162"/>
      <c r="G108" s="162"/>
      <c r="H108" s="162">
        <v>210</v>
      </c>
      <c r="I108" s="159">
        <v>210</v>
      </c>
      <c r="J108" s="11"/>
      <c r="K108" s="49">
        <f t="shared" si="17"/>
        <v>210</v>
      </c>
      <c r="L108" s="62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1:59" x14ac:dyDescent="0.3">
      <c r="A109" s="180">
        <v>46142</v>
      </c>
      <c r="B109" s="12" t="s">
        <v>1063</v>
      </c>
      <c r="C109" s="156" t="s">
        <v>1060</v>
      </c>
      <c r="D109" s="157">
        <f t="shared" si="16"/>
        <v>243.6</v>
      </c>
      <c r="E109" s="12"/>
      <c r="F109" s="162"/>
      <c r="G109" s="162"/>
      <c r="H109" s="162">
        <v>243.6</v>
      </c>
      <c r="I109" s="159">
        <v>243.6</v>
      </c>
      <c r="J109" s="160">
        <v>243.6</v>
      </c>
      <c r="K109" s="49">
        <f t="shared" si="17"/>
        <v>0</v>
      </c>
      <c r="L109" s="62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1:59" x14ac:dyDescent="0.3">
      <c r="A110" s="180">
        <v>46142</v>
      </c>
      <c r="B110" s="12" t="s">
        <v>1064</v>
      </c>
      <c r="C110" s="156" t="s">
        <v>1065</v>
      </c>
      <c r="D110" s="157">
        <f t="shared" si="16"/>
        <v>182.7</v>
      </c>
      <c r="E110" s="12"/>
      <c r="F110" s="162"/>
      <c r="G110" s="162"/>
      <c r="H110" s="162">
        <v>182.7</v>
      </c>
      <c r="I110" s="159">
        <v>182.7</v>
      </c>
      <c r="J110" s="11">
        <v>182.7</v>
      </c>
      <c r="K110" s="49">
        <f t="shared" si="17"/>
        <v>0</v>
      </c>
      <c r="L110" s="62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</row>
    <row r="111" spans="1:59" x14ac:dyDescent="0.3">
      <c r="A111" s="161"/>
      <c r="B111" s="11"/>
      <c r="C111" s="156"/>
      <c r="D111" s="157"/>
      <c r="E111" s="12"/>
      <c r="F111" s="162"/>
      <c r="G111" s="162"/>
      <c r="H111" s="162"/>
      <c r="I111" s="159"/>
      <c r="J111" s="11"/>
      <c r="K111" s="159"/>
      <c r="L111" s="62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>
        <f>+AT111+AS111+AR111+AP111+AN111+AM111+AL111+AK111+AJ111+AI111+AH111+AG111+AF111+AE111+AD111+AC111+AB111+AA111+Z111+Y111+X111+W111+V111+U111+T111+S111+R111+Q111+P111+O111+N111+M111</f>
        <v>0</v>
      </c>
    </row>
    <row r="112" spans="1:59" ht="18" x14ac:dyDescent="0.35">
      <c r="A112" s="11"/>
      <c r="B112" s="167" t="s">
        <v>914</v>
      </c>
      <c r="C112" s="168"/>
      <c r="D112" s="48">
        <f t="shared" ref="D112:J112" si="18">SUM(D91:D111)</f>
        <v>69835.3</v>
      </c>
      <c r="E112" s="48">
        <f t="shared" si="18"/>
        <v>0</v>
      </c>
      <c r="F112" s="48">
        <f t="shared" si="18"/>
        <v>0</v>
      </c>
      <c r="G112" s="48">
        <f t="shared" si="18"/>
        <v>63867.5</v>
      </c>
      <c r="H112" s="48">
        <f t="shared" si="18"/>
        <v>5967.8</v>
      </c>
      <c r="I112" s="48">
        <f t="shared" si="18"/>
        <v>69835.3</v>
      </c>
      <c r="J112" s="48">
        <f t="shared" si="18"/>
        <v>2922.5499999999997</v>
      </c>
      <c r="K112" s="48">
        <f t="shared" ref="K112:K186" si="19">I112-J112</f>
        <v>66912.75</v>
      </c>
      <c r="L112" s="62"/>
      <c r="M112" s="64">
        <f t="shared" ref="M112:BE112" si="20">SUM(M91:M111)</f>
        <v>0</v>
      </c>
      <c r="N112" s="64">
        <f t="shared" si="20"/>
        <v>0</v>
      </c>
      <c r="O112" s="64">
        <f t="shared" si="20"/>
        <v>0</v>
      </c>
      <c r="P112" s="64">
        <f t="shared" si="20"/>
        <v>0</v>
      </c>
      <c r="Q112" s="64">
        <f t="shared" si="20"/>
        <v>0</v>
      </c>
      <c r="R112" s="64">
        <f t="shared" si="20"/>
        <v>0</v>
      </c>
      <c r="S112" s="64">
        <f t="shared" si="20"/>
        <v>0</v>
      </c>
      <c r="T112" s="64">
        <f t="shared" si="20"/>
        <v>0</v>
      </c>
      <c r="U112" s="64">
        <f t="shared" si="20"/>
        <v>0</v>
      </c>
      <c r="V112" s="64">
        <f t="shared" si="20"/>
        <v>0</v>
      </c>
      <c r="W112" s="64">
        <f t="shared" si="20"/>
        <v>0</v>
      </c>
      <c r="X112" s="64">
        <f t="shared" si="20"/>
        <v>0</v>
      </c>
      <c r="Y112" s="64">
        <f t="shared" si="20"/>
        <v>0</v>
      </c>
      <c r="Z112" s="64">
        <f t="shared" si="20"/>
        <v>0</v>
      </c>
      <c r="AA112" s="64">
        <f t="shared" si="20"/>
        <v>0</v>
      </c>
      <c r="AB112" s="64">
        <f t="shared" si="20"/>
        <v>0</v>
      </c>
      <c r="AC112" s="64">
        <f t="shared" si="20"/>
        <v>0</v>
      </c>
      <c r="AD112" s="64">
        <f t="shared" si="20"/>
        <v>0</v>
      </c>
      <c r="AE112" s="64">
        <f t="shared" si="20"/>
        <v>0</v>
      </c>
      <c r="AF112" s="64">
        <f t="shared" si="20"/>
        <v>0</v>
      </c>
      <c r="AG112" s="64">
        <f t="shared" si="20"/>
        <v>0</v>
      </c>
      <c r="AH112" s="64">
        <f t="shared" si="20"/>
        <v>0</v>
      </c>
      <c r="AI112" s="64">
        <f t="shared" si="20"/>
        <v>0</v>
      </c>
      <c r="AJ112" s="64">
        <f t="shared" si="20"/>
        <v>0</v>
      </c>
      <c r="AK112" s="64">
        <f t="shared" si="20"/>
        <v>0</v>
      </c>
      <c r="AL112" s="64">
        <f t="shared" si="20"/>
        <v>0</v>
      </c>
      <c r="AM112" s="64">
        <f t="shared" si="20"/>
        <v>0</v>
      </c>
      <c r="AN112" s="64">
        <f t="shared" si="20"/>
        <v>0</v>
      </c>
      <c r="AO112" s="64">
        <f t="shared" si="20"/>
        <v>0</v>
      </c>
      <c r="AP112" s="64">
        <f t="shared" si="20"/>
        <v>0</v>
      </c>
      <c r="AQ112" s="64">
        <f t="shared" si="20"/>
        <v>0</v>
      </c>
      <c r="AR112" s="64">
        <f t="shared" si="20"/>
        <v>0</v>
      </c>
      <c r="AS112" s="64">
        <f t="shared" si="20"/>
        <v>0</v>
      </c>
      <c r="AT112" s="64">
        <f t="shared" si="20"/>
        <v>0</v>
      </c>
      <c r="AU112" s="64">
        <f t="shared" si="20"/>
        <v>0</v>
      </c>
      <c r="AV112" s="64">
        <f t="shared" si="20"/>
        <v>0</v>
      </c>
      <c r="AW112" s="64">
        <f t="shared" si="20"/>
        <v>0</v>
      </c>
      <c r="AX112" s="64">
        <f t="shared" si="20"/>
        <v>0</v>
      </c>
      <c r="AY112" s="64">
        <f t="shared" si="20"/>
        <v>0</v>
      </c>
      <c r="AZ112" s="64">
        <f t="shared" si="20"/>
        <v>0</v>
      </c>
      <c r="BA112" s="64">
        <f t="shared" si="20"/>
        <v>0</v>
      </c>
      <c r="BB112" s="64">
        <f t="shared" si="20"/>
        <v>0</v>
      </c>
      <c r="BC112" s="64">
        <f t="shared" si="20"/>
        <v>0</v>
      </c>
      <c r="BD112" s="64">
        <f t="shared" si="20"/>
        <v>0</v>
      </c>
      <c r="BE112" s="64">
        <f t="shared" si="20"/>
        <v>0</v>
      </c>
      <c r="BF112" s="64"/>
      <c r="BG112" s="64">
        <f>SUM(BG111:BG111)</f>
        <v>0</v>
      </c>
    </row>
    <row r="113" spans="1:59" x14ac:dyDescent="0.3">
      <c r="A113" s="11"/>
      <c r="B113" s="165"/>
      <c r="C113" s="156"/>
      <c r="D113" s="157"/>
      <c r="E113" s="12"/>
      <c r="F113" s="162"/>
      <c r="G113" s="162"/>
      <c r="H113" s="162"/>
      <c r="I113" s="159"/>
      <c r="J113" s="11"/>
      <c r="K113" s="49"/>
      <c r="L113" s="62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</row>
    <row r="114" spans="1:59" x14ac:dyDescent="0.3">
      <c r="A114" s="180">
        <v>46151</v>
      </c>
      <c r="B114" s="412" t="s">
        <v>1067</v>
      </c>
      <c r="C114" s="156" t="s">
        <v>1066</v>
      </c>
      <c r="D114" s="157">
        <f t="shared" ref="D114" si="21">+I114-E114</f>
        <v>6281.4</v>
      </c>
      <c r="E114" s="12"/>
      <c r="F114" s="162"/>
      <c r="G114" s="162">
        <v>6281.4</v>
      </c>
      <c r="H114" s="162"/>
      <c r="I114" s="159">
        <v>6281.4</v>
      </c>
      <c r="J114" s="11"/>
      <c r="K114" s="49">
        <f>I114-J114</f>
        <v>6281.4</v>
      </c>
      <c r="L114" s="62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</row>
    <row r="115" spans="1:59" x14ac:dyDescent="0.3">
      <c r="A115" s="180">
        <v>46151</v>
      </c>
      <c r="B115" s="12" t="s">
        <v>1171</v>
      </c>
      <c r="C115" s="156" t="s">
        <v>1071</v>
      </c>
      <c r="D115" s="157">
        <f t="shared" ref="D115:D129" si="22">+I115-E115</f>
        <v>748.8</v>
      </c>
      <c r="E115" s="12"/>
      <c r="F115" s="162"/>
      <c r="G115" s="162">
        <v>748.8</v>
      </c>
      <c r="H115" s="162"/>
      <c r="I115" s="159">
        <v>748.8</v>
      </c>
      <c r="J115" s="11"/>
      <c r="K115" s="49">
        <f t="shared" ref="K115:K125" si="23">I115-J115</f>
        <v>748.8</v>
      </c>
      <c r="L115" s="62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</row>
    <row r="116" spans="1:59" x14ac:dyDescent="0.3">
      <c r="A116" s="180">
        <v>46151</v>
      </c>
      <c r="B116" s="12" t="s">
        <v>1170</v>
      </c>
      <c r="C116" s="156" t="s">
        <v>1072</v>
      </c>
      <c r="D116" s="157">
        <f t="shared" si="22"/>
        <v>577.5</v>
      </c>
      <c r="E116" s="12"/>
      <c r="F116" s="162"/>
      <c r="G116" s="162"/>
      <c r="H116" s="162"/>
      <c r="I116" s="159">
        <v>577.5</v>
      </c>
      <c r="J116" s="11"/>
      <c r="K116" s="49">
        <f t="shared" si="23"/>
        <v>577.5</v>
      </c>
      <c r="L116" s="62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</row>
    <row r="117" spans="1:59" x14ac:dyDescent="0.3">
      <c r="A117" s="180">
        <v>46151</v>
      </c>
      <c r="B117" s="12" t="s">
        <v>1079</v>
      </c>
      <c r="C117" s="156" t="s">
        <v>1073</v>
      </c>
      <c r="D117" s="157">
        <f t="shared" ref="D117" si="24">+I117-E117</f>
        <v>577.5</v>
      </c>
      <c r="E117" s="12"/>
      <c r="F117" s="162"/>
      <c r="G117" s="162"/>
      <c r="H117" s="162">
        <v>420</v>
      </c>
      <c r="I117" s="159">
        <v>577.5</v>
      </c>
      <c r="J117" s="160">
        <v>420</v>
      </c>
      <c r="K117" s="49">
        <f t="shared" si="23"/>
        <v>157.5</v>
      </c>
      <c r="L117" s="62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</row>
    <row r="118" spans="1:59" x14ac:dyDescent="0.3">
      <c r="A118" s="180">
        <v>46151</v>
      </c>
      <c r="B118" s="408" t="s">
        <v>1080</v>
      </c>
      <c r="C118" s="156" t="s">
        <v>1074</v>
      </c>
      <c r="D118" s="157">
        <f t="shared" si="22"/>
        <v>183.75</v>
      </c>
      <c r="E118" s="12"/>
      <c r="F118" s="162"/>
      <c r="G118" s="162"/>
      <c r="H118" s="162">
        <v>183.75</v>
      </c>
      <c r="I118" s="159">
        <v>183.75</v>
      </c>
      <c r="J118" s="11">
        <v>183.75</v>
      </c>
      <c r="K118" s="49">
        <f t="shared" si="23"/>
        <v>0</v>
      </c>
      <c r="L118" s="62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</row>
    <row r="119" spans="1:59" x14ac:dyDescent="0.3">
      <c r="A119" s="180"/>
      <c r="B119" s="408" t="s">
        <v>1081</v>
      </c>
      <c r="C119" s="156" t="s">
        <v>1075</v>
      </c>
      <c r="D119" s="157">
        <f t="shared" si="22"/>
        <v>367.5</v>
      </c>
      <c r="E119" s="12"/>
      <c r="F119" s="162"/>
      <c r="G119" s="162"/>
      <c r="H119" s="162">
        <v>367.5</v>
      </c>
      <c r="I119" s="159">
        <v>367.5</v>
      </c>
      <c r="J119" s="160">
        <v>367.5</v>
      </c>
      <c r="K119" s="49">
        <f t="shared" si="23"/>
        <v>0</v>
      </c>
      <c r="L119" s="62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</row>
    <row r="120" spans="1:59" x14ac:dyDescent="0.3">
      <c r="A120" s="180">
        <v>46162</v>
      </c>
      <c r="B120" s="165" t="s">
        <v>1169</v>
      </c>
      <c r="C120" s="156" t="s">
        <v>1076</v>
      </c>
      <c r="D120" s="157">
        <f t="shared" si="22"/>
        <v>288.75</v>
      </c>
      <c r="E120" s="12"/>
      <c r="F120" s="162"/>
      <c r="G120" s="162"/>
      <c r="H120" s="162">
        <v>288.75</v>
      </c>
      <c r="I120" s="159">
        <v>288.75</v>
      </c>
      <c r="J120" s="11"/>
      <c r="K120" s="49">
        <f t="shared" si="23"/>
        <v>288.75</v>
      </c>
      <c r="L120" s="62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</row>
    <row r="121" spans="1:59" x14ac:dyDescent="0.3">
      <c r="A121" s="180">
        <v>46162</v>
      </c>
      <c r="B121" s="12" t="s">
        <v>1078</v>
      </c>
      <c r="C121" s="156" t="s">
        <v>1077</v>
      </c>
      <c r="D121" s="157">
        <f t="shared" si="22"/>
        <v>675</v>
      </c>
      <c r="E121" s="12"/>
      <c r="F121" s="162"/>
      <c r="G121" s="162">
        <v>675</v>
      </c>
      <c r="H121" s="162"/>
      <c r="I121" s="159">
        <v>675</v>
      </c>
      <c r="J121" s="11"/>
      <c r="K121" s="49">
        <f t="shared" si="23"/>
        <v>675</v>
      </c>
      <c r="L121" s="62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</row>
    <row r="122" spans="1:59" x14ac:dyDescent="0.3">
      <c r="A122" s="180">
        <v>46162</v>
      </c>
      <c r="B122" s="12" t="s">
        <v>1208</v>
      </c>
      <c r="C122" s="156" t="s">
        <v>1209</v>
      </c>
      <c r="D122" s="157">
        <f t="shared" si="22"/>
        <v>116</v>
      </c>
      <c r="E122" s="12"/>
      <c r="F122" s="162"/>
      <c r="G122" s="162"/>
      <c r="H122" s="162">
        <v>116</v>
      </c>
      <c r="I122" s="159">
        <v>116</v>
      </c>
      <c r="J122" s="11"/>
      <c r="K122" s="49">
        <f t="shared" si="23"/>
        <v>116</v>
      </c>
      <c r="L122" s="62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</row>
    <row r="123" spans="1:59" x14ac:dyDescent="0.3">
      <c r="A123" s="180"/>
      <c r="B123" s="12" t="s">
        <v>1224</v>
      </c>
      <c r="C123" s="156" t="s">
        <v>1210</v>
      </c>
      <c r="D123" s="157">
        <f t="shared" si="22"/>
        <v>420</v>
      </c>
      <c r="E123" s="12"/>
      <c r="F123" s="162"/>
      <c r="G123" s="162"/>
      <c r="H123" s="162">
        <v>420</v>
      </c>
      <c r="I123" s="159">
        <v>420</v>
      </c>
      <c r="J123" s="11">
        <v>420</v>
      </c>
      <c r="K123" s="49">
        <f t="shared" si="23"/>
        <v>0</v>
      </c>
      <c r="L123" s="62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</row>
    <row r="124" spans="1:59" x14ac:dyDescent="0.3">
      <c r="A124" s="180">
        <v>46172</v>
      </c>
      <c r="B124" s="12" t="s">
        <v>1225</v>
      </c>
      <c r="C124" s="156" t="s">
        <v>1211</v>
      </c>
      <c r="D124" s="157">
        <f t="shared" si="22"/>
        <v>400</v>
      </c>
      <c r="E124" s="12"/>
      <c r="F124" s="162"/>
      <c r="G124" s="162"/>
      <c r="H124" s="162">
        <v>400</v>
      </c>
      <c r="I124" s="159">
        <v>400</v>
      </c>
      <c r="J124" s="11"/>
      <c r="K124" s="49">
        <f t="shared" si="23"/>
        <v>400</v>
      </c>
      <c r="L124" s="62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</row>
    <row r="125" spans="1:59" x14ac:dyDescent="0.3">
      <c r="A125" s="180">
        <v>46172</v>
      </c>
      <c r="B125" s="12" t="s">
        <v>1226</v>
      </c>
      <c r="C125" s="156" t="s">
        <v>1212</v>
      </c>
      <c r="D125" s="157">
        <f t="shared" si="22"/>
        <v>250</v>
      </c>
      <c r="E125" s="12"/>
      <c r="F125" s="162"/>
      <c r="G125" s="162"/>
      <c r="H125" s="162">
        <v>250</v>
      </c>
      <c r="I125" s="159">
        <v>250</v>
      </c>
      <c r="J125" s="11">
        <v>250</v>
      </c>
      <c r="K125" s="49">
        <f t="shared" si="23"/>
        <v>0</v>
      </c>
      <c r="L125" s="62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</row>
    <row r="126" spans="1:59" x14ac:dyDescent="0.3">
      <c r="A126" s="180">
        <v>46172</v>
      </c>
      <c r="B126" s="12" t="s">
        <v>1218</v>
      </c>
      <c r="C126" s="156" t="s">
        <v>1213</v>
      </c>
      <c r="D126" s="157">
        <f t="shared" si="22"/>
        <v>210</v>
      </c>
      <c r="E126" s="12"/>
      <c r="F126" s="162"/>
      <c r="G126" s="162"/>
      <c r="H126" s="162">
        <v>210</v>
      </c>
      <c r="I126" s="159">
        <v>210</v>
      </c>
      <c r="J126" s="11"/>
      <c r="K126" s="49"/>
      <c r="L126" s="62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</row>
    <row r="127" spans="1:59" x14ac:dyDescent="0.3">
      <c r="A127" s="180">
        <v>46172</v>
      </c>
      <c r="B127" s="12" t="s">
        <v>1227</v>
      </c>
      <c r="C127" s="156" t="s">
        <v>1214</v>
      </c>
      <c r="D127" s="157">
        <f t="shared" si="22"/>
        <v>210</v>
      </c>
      <c r="E127" s="12"/>
      <c r="F127" s="162"/>
      <c r="G127" s="162"/>
      <c r="H127" s="162">
        <v>210</v>
      </c>
      <c r="I127" s="159">
        <v>210</v>
      </c>
      <c r="J127" s="11"/>
      <c r="K127" s="49"/>
      <c r="L127" s="62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</row>
    <row r="128" spans="1:59" x14ac:dyDescent="0.3">
      <c r="A128" s="180">
        <v>46172</v>
      </c>
      <c r="B128" s="12" t="s">
        <v>1219</v>
      </c>
      <c r="C128" s="156" t="s">
        <v>1215</v>
      </c>
      <c r="D128" s="157">
        <f t="shared" si="22"/>
        <v>243.6</v>
      </c>
      <c r="E128" s="12"/>
      <c r="F128" s="162"/>
      <c r="G128" s="162"/>
      <c r="H128" s="162">
        <v>243.6</v>
      </c>
      <c r="I128" s="159">
        <v>243.6</v>
      </c>
      <c r="J128" s="11"/>
      <c r="K128" s="49"/>
      <c r="L128" s="62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</row>
    <row r="129" spans="1:59" x14ac:dyDescent="0.3">
      <c r="A129" s="180">
        <v>46172</v>
      </c>
      <c r="B129" s="12" t="s">
        <v>1220</v>
      </c>
      <c r="C129" s="156" t="s">
        <v>1216</v>
      </c>
      <c r="D129" s="157">
        <f t="shared" si="22"/>
        <v>182.7</v>
      </c>
      <c r="E129" s="12"/>
      <c r="F129" s="162"/>
      <c r="G129" s="162"/>
      <c r="H129" s="162">
        <v>182.7</v>
      </c>
      <c r="I129" s="159">
        <v>182.7</v>
      </c>
      <c r="J129" s="11"/>
      <c r="K129" s="49"/>
      <c r="L129" s="62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</row>
    <row r="130" spans="1:59" x14ac:dyDescent="0.3">
      <c r="A130" s="161"/>
      <c r="B130" s="174"/>
      <c r="C130" s="156"/>
      <c r="D130" s="157"/>
      <c r="E130" s="12"/>
      <c r="F130" s="162"/>
      <c r="G130" s="162"/>
      <c r="H130" s="162"/>
      <c r="I130" s="159"/>
      <c r="J130" s="11"/>
      <c r="K130" s="49"/>
      <c r="L130" s="62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>
        <f>+AT130+AS130+AR130+AP130+AO130+AN130+AM130+AL130+AK130+AJ130+AI130+AH130+AG130+AF130+AE130+AD130+AC130+AB130+AA130+Z130+Y130+X130+W130+V130+U130+T130+S130+R130+Q130+P130+O130+N130+M130</f>
        <v>0</v>
      </c>
    </row>
    <row r="131" spans="1:59" ht="18" x14ac:dyDescent="0.35">
      <c r="A131" s="11"/>
      <c r="B131" s="167" t="s">
        <v>184</v>
      </c>
      <c r="C131" s="168"/>
      <c r="D131" s="48">
        <f t="shared" ref="D131:J131" si="25">SUM(D113:D130)</f>
        <v>11732.500000000002</v>
      </c>
      <c r="E131" s="48">
        <f t="shared" si="25"/>
        <v>0</v>
      </c>
      <c r="F131" s="48">
        <f t="shared" si="25"/>
        <v>0</v>
      </c>
      <c r="G131" s="48">
        <f t="shared" si="25"/>
        <v>7705.2</v>
      </c>
      <c r="H131" s="48">
        <f t="shared" si="25"/>
        <v>3292.2999999999997</v>
      </c>
      <c r="I131" s="48">
        <f t="shared" si="25"/>
        <v>11732.500000000002</v>
      </c>
      <c r="J131" s="48">
        <f t="shared" si="25"/>
        <v>1641.25</v>
      </c>
      <c r="K131" s="48">
        <f t="shared" si="19"/>
        <v>10091.250000000002</v>
      </c>
      <c r="L131" s="62"/>
      <c r="M131" s="64">
        <f t="shared" ref="M131:AE131" si="26">SUM(M113:M130)</f>
        <v>0</v>
      </c>
      <c r="N131" s="64">
        <f t="shared" si="26"/>
        <v>0</v>
      </c>
      <c r="O131" s="64">
        <f t="shared" si="26"/>
        <v>0</v>
      </c>
      <c r="P131" s="64">
        <f t="shared" si="26"/>
        <v>0</v>
      </c>
      <c r="Q131" s="64">
        <f t="shared" si="26"/>
        <v>0</v>
      </c>
      <c r="R131" s="64">
        <f t="shared" si="26"/>
        <v>0</v>
      </c>
      <c r="S131" s="64">
        <f t="shared" si="26"/>
        <v>0</v>
      </c>
      <c r="T131" s="64">
        <f t="shared" si="26"/>
        <v>0</v>
      </c>
      <c r="U131" s="64">
        <f t="shared" si="26"/>
        <v>0</v>
      </c>
      <c r="V131" s="64">
        <f t="shared" si="26"/>
        <v>0</v>
      </c>
      <c r="W131" s="64">
        <f t="shared" si="26"/>
        <v>0</v>
      </c>
      <c r="X131" s="64">
        <f t="shared" si="26"/>
        <v>0</v>
      </c>
      <c r="Y131" s="64">
        <f t="shared" si="26"/>
        <v>0</v>
      </c>
      <c r="Z131" s="64">
        <f t="shared" si="26"/>
        <v>0</v>
      </c>
      <c r="AA131" s="64">
        <f t="shared" si="26"/>
        <v>0</v>
      </c>
      <c r="AB131" s="64">
        <f t="shared" si="26"/>
        <v>0</v>
      </c>
      <c r="AC131" s="64">
        <f t="shared" si="26"/>
        <v>0</v>
      </c>
      <c r="AD131" s="64">
        <f t="shared" si="26"/>
        <v>0</v>
      </c>
      <c r="AE131" s="64">
        <f t="shared" si="26"/>
        <v>0</v>
      </c>
      <c r="AF131" s="64"/>
      <c r="AG131" s="64"/>
      <c r="AH131" s="64"/>
      <c r="AI131" s="64">
        <f t="shared" ref="AI131:AN131" si="27">SUM(AI113:AI130)</f>
        <v>0</v>
      </c>
      <c r="AJ131" s="64">
        <f t="shared" si="27"/>
        <v>0</v>
      </c>
      <c r="AK131" s="64">
        <f t="shared" si="27"/>
        <v>0</v>
      </c>
      <c r="AL131" s="64">
        <f t="shared" si="27"/>
        <v>0</v>
      </c>
      <c r="AM131" s="64">
        <f t="shared" si="27"/>
        <v>0</v>
      </c>
      <c r="AN131" s="64">
        <f t="shared" si="27"/>
        <v>0</v>
      </c>
      <c r="AO131" s="64"/>
      <c r="AP131" s="64">
        <f t="shared" ref="AP131:BA131" si="28">SUM(AP113:AP130)</f>
        <v>0</v>
      </c>
      <c r="AQ131" s="64">
        <f t="shared" si="28"/>
        <v>0</v>
      </c>
      <c r="AR131" s="64">
        <f t="shared" si="28"/>
        <v>0</v>
      </c>
      <c r="AS131" s="64">
        <f t="shared" si="28"/>
        <v>0</v>
      </c>
      <c r="AT131" s="48">
        <f t="shared" si="28"/>
        <v>0</v>
      </c>
      <c r="AU131" s="48">
        <f t="shared" si="28"/>
        <v>0</v>
      </c>
      <c r="AV131" s="48">
        <f t="shared" si="28"/>
        <v>0</v>
      </c>
      <c r="AW131" s="48">
        <f t="shared" si="28"/>
        <v>0</v>
      </c>
      <c r="AX131" s="48">
        <f t="shared" si="28"/>
        <v>0</v>
      </c>
      <c r="AY131" s="48">
        <f t="shared" si="28"/>
        <v>0</v>
      </c>
      <c r="AZ131" s="48">
        <f t="shared" si="28"/>
        <v>0</v>
      </c>
      <c r="BA131" s="48">
        <f t="shared" si="28"/>
        <v>0</v>
      </c>
      <c r="BB131" s="48"/>
      <c r="BC131" s="48"/>
      <c r="BD131" s="48"/>
      <c r="BE131" s="48"/>
      <c r="BF131" s="48"/>
      <c r="BG131" s="64">
        <f>SUM(BG113:BG130)</f>
        <v>0</v>
      </c>
    </row>
    <row r="132" spans="1:59" x14ac:dyDescent="0.3">
      <c r="A132" s="11"/>
      <c r="B132" s="165"/>
      <c r="C132" s="156"/>
      <c r="D132" s="157"/>
      <c r="E132" s="12"/>
      <c r="F132" s="162"/>
      <c r="G132" s="162"/>
      <c r="H132" s="162"/>
      <c r="I132" s="159"/>
      <c r="J132" s="11"/>
      <c r="K132" s="49">
        <f t="shared" si="19"/>
        <v>0</v>
      </c>
      <c r="L132" s="62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</row>
    <row r="133" spans="1:59" x14ac:dyDescent="0.3">
      <c r="A133" s="180">
        <v>46178</v>
      </c>
      <c r="B133" s="408" t="s">
        <v>1221</v>
      </c>
      <c r="C133" s="156" t="s">
        <v>1217</v>
      </c>
      <c r="D133" s="157">
        <f t="shared" ref="D133:D151" si="29">+I133-E133</f>
        <v>367.5</v>
      </c>
      <c r="E133" s="12"/>
      <c r="F133" s="162"/>
      <c r="G133" s="162"/>
      <c r="H133" s="162">
        <v>367.5</v>
      </c>
      <c r="I133" s="159">
        <v>367.5</v>
      </c>
      <c r="J133" s="11"/>
      <c r="K133" s="49">
        <f t="shared" si="19"/>
        <v>367.5</v>
      </c>
      <c r="L133" s="62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</row>
    <row r="134" spans="1:59" x14ac:dyDescent="0.3">
      <c r="A134" s="180">
        <v>46178</v>
      </c>
      <c r="B134" s="165" t="s">
        <v>1223</v>
      </c>
      <c r="C134" s="156" t="s">
        <v>1222</v>
      </c>
      <c r="D134" s="157">
        <f t="shared" si="29"/>
        <v>45269</v>
      </c>
      <c r="E134" s="12"/>
      <c r="F134" s="162"/>
      <c r="G134" s="162"/>
      <c r="H134" s="162">
        <v>45269</v>
      </c>
      <c r="I134" s="159">
        <v>45269</v>
      </c>
      <c r="J134" s="11"/>
      <c r="K134" s="49">
        <f t="shared" si="19"/>
        <v>45269</v>
      </c>
      <c r="L134" s="62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</row>
    <row r="135" spans="1:59" x14ac:dyDescent="0.3">
      <c r="A135" s="180"/>
      <c r="B135" s="165"/>
      <c r="C135" s="156"/>
      <c r="D135" s="157">
        <f t="shared" si="29"/>
        <v>0</v>
      </c>
      <c r="E135" s="12"/>
      <c r="F135" s="162"/>
      <c r="G135" s="162"/>
      <c r="H135" s="162"/>
      <c r="I135" s="159"/>
      <c r="J135" s="11"/>
      <c r="K135" s="49">
        <f t="shared" si="19"/>
        <v>0</v>
      </c>
      <c r="L135" s="62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</row>
    <row r="136" spans="1:59" x14ac:dyDescent="0.3">
      <c r="A136" s="180"/>
      <c r="B136" s="165"/>
      <c r="C136" s="156"/>
      <c r="D136" s="157">
        <f t="shared" si="29"/>
        <v>0</v>
      </c>
      <c r="E136" s="12"/>
      <c r="F136" s="162"/>
      <c r="G136" s="162"/>
      <c r="H136" s="162"/>
      <c r="I136" s="159"/>
      <c r="J136" s="11"/>
      <c r="K136" s="49">
        <f t="shared" si="19"/>
        <v>0</v>
      </c>
      <c r="L136" s="62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</row>
    <row r="137" spans="1:59" x14ac:dyDescent="0.3">
      <c r="A137" s="180"/>
      <c r="B137" s="165"/>
      <c r="C137" s="156"/>
      <c r="D137" s="157">
        <f t="shared" si="29"/>
        <v>0</v>
      </c>
      <c r="E137" s="12"/>
      <c r="F137" s="162"/>
      <c r="G137" s="162"/>
      <c r="H137" s="162"/>
      <c r="I137" s="159"/>
      <c r="J137" s="11"/>
      <c r="K137" s="49">
        <f t="shared" si="19"/>
        <v>0</v>
      </c>
      <c r="L137" s="62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</row>
    <row r="138" spans="1:59" x14ac:dyDescent="0.3">
      <c r="A138" s="180"/>
      <c r="B138" s="12"/>
      <c r="C138" s="156"/>
      <c r="D138" s="157">
        <f t="shared" si="29"/>
        <v>0</v>
      </c>
      <c r="E138" s="12"/>
      <c r="F138" s="162"/>
      <c r="G138" s="162"/>
      <c r="H138" s="162"/>
      <c r="I138" s="159"/>
      <c r="J138" s="11"/>
      <c r="K138" s="49">
        <f t="shared" si="19"/>
        <v>0</v>
      </c>
      <c r="L138" s="62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</row>
    <row r="139" spans="1:59" x14ac:dyDescent="0.3">
      <c r="A139" s="180"/>
      <c r="B139" s="12"/>
      <c r="C139" s="156"/>
      <c r="D139" s="157">
        <f t="shared" si="29"/>
        <v>0</v>
      </c>
      <c r="E139" s="12"/>
      <c r="F139" s="162"/>
      <c r="G139" s="162"/>
      <c r="H139" s="162"/>
      <c r="I139" s="159"/>
      <c r="J139" s="11"/>
      <c r="K139" s="49">
        <f t="shared" si="19"/>
        <v>0</v>
      </c>
      <c r="L139" s="62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</row>
    <row r="140" spans="1:59" x14ac:dyDescent="0.3">
      <c r="A140" s="180"/>
      <c r="B140" s="12"/>
      <c r="C140" s="156"/>
      <c r="D140" s="157">
        <f t="shared" si="29"/>
        <v>0</v>
      </c>
      <c r="E140" s="12"/>
      <c r="F140" s="162"/>
      <c r="G140" s="162"/>
      <c r="H140" s="162"/>
      <c r="I140" s="159"/>
      <c r="J140" s="11"/>
      <c r="K140" s="49">
        <f t="shared" si="19"/>
        <v>0</v>
      </c>
      <c r="L140" s="62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</row>
    <row r="141" spans="1:59" x14ac:dyDescent="0.3">
      <c r="A141" s="180"/>
      <c r="B141" s="175"/>
      <c r="C141" s="156"/>
      <c r="D141" s="157">
        <f t="shared" si="29"/>
        <v>0</v>
      </c>
      <c r="E141" s="12"/>
      <c r="F141" s="162"/>
      <c r="G141" s="162"/>
      <c r="H141" s="162"/>
      <c r="I141" s="159"/>
      <c r="J141" s="11"/>
      <c r="K141" s="49">
        <f t="shared" si="19"/>
        <v>0</v>
      </c>
      <c r="L141" s="62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</row>
    <row r="142" spans="1:59" x14ac:dyDescent="0.3">
      <c r="A142" s="180"/>
      <c r="B142" s="12"/>
      <c r="C142" s="156"/>
      <c r="D142" s="157">
        <f t="shared" si="29"/>
        <v>0</v>
      </c>
      <c r="E142" s="12"/>
      <c r="F142" s="162"/>
      <c r="G142" s="162"/>
      <c r="H142" s="162"/>
      <c r="I142" s="159"/>
      <c r="J142" s="11"/>
      <c r="K142" s="49">
        <f t="shared" si="19"/>
        <v>0</v>
      </c>
      <c r="L142" s="62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</row>
    <row r="143" spans="1:59" x14ac:dyDescent="0.3">
      <c r="A143" s="180"/>
      <c r="B143" s="12"/>
      <c r="C143" s="156"/>
      <c r="D143" s="157">
        <f t="shared" si="29"/>
        <v>0</v>
      </c>
      <c r="E143" s="12"/>
      <c r="F143" s="162"/>
      <c r="G143" s="162"/>
      <c r="H143" s="162"/>
      <c r="I143" s="159"/>
      <c r="J143" s="11"/>
      <c r="K143" s="49">
        <f t="shared" si="19"/>
        <v>0</v>
      </c>
      <c r="L143" s="62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</row>
    <row r="144" spans="1:59" x14ac:dyDescent="0.3">
      <c r="A144" s="180"/>
      <c r="B144" s="12"/>
      <c r="C144" s="156"/>
      <c r="D144" s="157">
        <f t="shared" si="29"/>
        <v>0</v>
      </c>
      <c r="E144" s="12"/>
      <c r="F144" s="162"/>
      <c r="G144" s="162"/>
      <c r="H144" s="162"/>
      <c r="I144" s="159"/>
      <c r="J144" s="11"/>
      <c r="K144" s="49">
        <f t="shared" si="19"/>
        <v>0</v>
      </c>
      <c r="L144" s="62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</row>
    <row r="145" spans="1:59" x14ac:dyDescent="0.3">
      <c r="A145" s="180"/>
      <c r="B145" s="12"/>
      <c r="C145" s="156"/>
      <c r="D145" s="157">
        <f t="shared" si="29"/>
        <v>0</v>
      </c>
      <c r="E145" s="12"/>
      <c r="F145" s="162"/>
      <c r="G145" s="162"/>
      <c r="H145" s="162"/>
      <c r="I145" s="159"/>
      <c r="J145" s="11"/>
      <c r="K145" s="49">
        <f t="shared" si="19"/>
        <v>0</v>
      </c>
      <c r="L145" s="62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</row>
    <row r="146" spans="1:59" x14ac:dyDescent="0.3">
      <c r="A146" s="180"/>
      <c r="B146" s="12"/>
      <c r="C146" s="156"/>
      <c r="D146" s="157">
        <f t="shared" si="29"/>
        <v>0</v>
      </c>
      <c r="E146" s="12"/>
      <c r="F146" s="162"/>
      <c r="G146" s="162"/>
      <c r="H146" s="162"/>
      <c r="I146" s="159"/>
      <c r="J146" s="11"/>
      <c r="K146" s="49">
        <f t="shared" si="19"/>
        <v>0</v>
      </c>
      <c r="L146" s="62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</row>
    <row r="147" spans="1:59" x14ac:dyDescent="0.3">
      <c r="A147" s="180"/>
      <c r="B147" s="12"/>
      <c r="C147" s="156"/>
      <c r="D147" s="157">
        <f t="shared" si="29"/>
        <v>0</v>
      </c>
      <c r="E147" s="12"/>
      <c r="F147" s="162"/>
      <c r="G147" s="162"/>
      <c r="H147" s="162"/>
      <c r="I147" s="159"/>
      <c r="J147" s="11"/>
      <c r="K147" s="49">
        <f t="shared" si="19"/>
        <v>0</v>
      </c>
      <c r="L147" s="62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</row>
    <row r="148" spans="1:59" x14ac:dyDescent="0.3">
      <c r="A148" s="180"/>
      <c r="B148" s="12"/>
      <c r="C148" s="156"/>
      <c r="D148" s="157">
        <f t="shared" si="29"/>
        <v>0</v>
      </c>
      <c r="E148" s="12"/>
      <c r="F148" s="162"/>
      <c r="G148" s="162"/>
      <c r="H148" s="162"/>
      <c r="I148" s="159"/>
      <c r="J148" s="11"/>
      <c r="K148" s="49">
        <f t="shared" si="19"/>
        <v>0</v>
      </c>
      <c r="L148" s="62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</row>
    <row r="149" spans="1:59" x14ac:dyDescent="0.3">
      <c r="A149" s="180"/>
      <c r="B149" s="12"/>
      <c r="C149" s="156"/>
      <c r="D149" s="157">
        <f t="shared" si="29"/>
        <v>0</v>
      </c>
      <c r="E149" s="12"/>
      <c r="F149" s="162"/>
      <c r="G149" s="162"/>
      <c r="H149" s="162"/>
      <c r="I149" s="159"/>
      <c r="J149" s="11"/>
      <c r="K149" s="49">
        <f t="shared" si="19"/>
        <v>0</v>
      </c>
      <c r="L149" s="62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</row>
    <row r="150" spans="1:59" x14ac:dyDescent="0.3">
      <c r="A150" s="180"/>
      <c r="B150" s="12"/>
      <c r="C150" s="156"/>
      <c r="D150" s="157">
        <f t="shared" si="29"/>
        <v>0</v>
      </c>
      <c r="E150" s="12"/>
      <c r="F150" s="162"/>
      <c r="G150" s="162"/>
      <c r="H150" s="162"/>
      <c r="I150" s="159"/>
      <c r="J150" s="11"/>
      <c r="K150" s="49">
        <f t="shared" si="19"/>
        <v>0</v>
      </c>
      <c r="L150" s="62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</row>
    <row r="151" spans="1:59" x14ac:dyDescent="0.3">
      <c r="A151" s="180"/>
      <c r="B151" s="12"/>
      <c r="C151" s="156"/>
      <c r="D151" s="157">
        <f t="shared" si="29"/>
        <v>0</v>
      </c>
      <c r="E151" s="12"/>
      <c r="F151" s="162"/>
      <c r="G151" s="162"/>
      <c r="H151" s="162"/>
      <c r="I151" s="159"/>
      <c r="J151" s="11"/>
      <c r="K151" s="49">
        <f t="shared" si="19"/>
        <v>0</v>
      </c>
      <c r="L151" s="62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</row>
    <row r="152" spans="1:59" x14ac:dyDescent="0.3">
      <c r="A152" s="161"/>
      <c r="B152" s="12"/>
      <c r="C152" s="156"/>
      <c r="D152" s="157"/>
      <c r="E152" s="12"/>
      <c r="F152" s="162"/>
      <c r="G152" s="162"/>
      <c r="H152" s="162"/>
      <c r="I152" s="159"/>
      <c r="J152" s="12"/>
      <c r="K152" s="49"/>
      <c r="L152" s="62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>
        <f>+AP152+AN152+AM152+AL152+AK152+AJ152+AI152+AH152+AG152+AF152+AE152+AD152+AC152+AB152+AA152+Z152+Y152+X152+W152+V152+U152+T152+S152+R152+Q152+P152+O152+N152+M152</f>
        <v>0</v>
      </c>
    </row>
    <row r="153" spans="1:59" ht="18" x14ac:dyDescent="0.35">
      <c r="A153" s="11"/>
      <c r="B153" s="167" t="s">
        <v>185</v>
      </c>
      <c r="C153" s="168"/>
      <c r="D153" s="48">
        <f t="shared" ref="D153:J153" si="30">SUM(D132:D152)</f>
        <v>45636.5</v>
      </c>
      <c r="E153" s="48">
        <f t="shared" si="30"/>
        <v>0</v>
      </c>
      <c r="F153" s="48">
        <f t="shared" si="30"/>
        <v>0</v>
      </c>
      <c r="G153" s="48">
        <f t="shared" si="30"/>
        <v>0</v>
      </c>
      <c r="H153" s="48">
        <f t="shared" si="30"/>
        <v>45636.5</v>
      </c>
      <c r="I153" s="48">
        <f t="shared" si="30"/>
        <v>45636.5</v>
      </c>
      <c r="J153" s="47">
        <f t="shared" si="30"/>
        <v>0</v>
      </c>
      <c r="K153" s="48">
        <f t="shared" si="19"/>
        <v>45636.5</v>
      </c>
      <c r="L153" s="62"/>
      <c r="M153" s="64">
        <f t="shared" ref="M153:AN153" si="31">SUM(M132:M152)</f>
        <v>0</v>
      </c>
      <c r="N153" s="64">
        <f t="shared" si="31"/>
        <v>0</v>
      </c>
      <c r="O153" s="64">
        <f t="shared" si="31"/>
        <v>0</v>
      </c>
      <c r="P153" s="64">
        <f t="shared" si="31"/>
        <v>0</v>
      </c>
      <c r="Q153" s="64">
        <f t="shared" si="31"/>
        <v>0</v>
      </c>
      <c r="R153" s="64">
        <f t="shared" si="31"/>
        <v>0</v>
      </c>
      <c r="S153" s="64">
        <f t="shared" si="31"/>
        <v>0</v>
      </c>
      <c r="T153" s="64">
        <f t="shared" si="31"/>
        <v>0</v>
      </c>
      <c r="U153" s="64">
        <f t="shared" si="31"/>
        <v>0</v>
      </c>
      <c r="V153" s="64">
        <f t="shared" si="31"/>
        <v>0</v>
      </c>
      <c r="W153" s="64">
        <f t="shared" si="31"/>
        <v>0</v>
      </c>
      <c r="X153" s="64">
        <f t="shared" si="31"/>
        <v>0</v>
      </c>
      <c r="Y153" s="64">
        <f t="shared" si="31"/>
        <v>0</v>
      </c>
      <c r="Z153" s="64">
        <f t="shared" si="31"/>
        <v>0</v>
      </c>
      <c r="AA153" s="64">
        <f t="shared" si="31"/>
        <v>0</v>
      </c>
      <c r="AB153" s="64">
        <f t="shared" si="31"/>
        <v>0</v>
      </c>
      <c r="AC153" s="64">
        <f t="shared" si="31"/>
        <v>0</v>
      </c>
      <c r="AD153" s="64">
        <f t="shared" si="31"/>
        <v>0</v>
      </c>
      <c r="AE153" s="64">
        <f t="shared" si="31"/>
        <v>0</v>
      </c>
      <c r="AF153" s="64">
        <f t="shared" si="31"/>
        <v>0</v>
      </c>
      <c r="AG153" s="64">
        <f t="shared" si="31"/>
        <v>0</v>
      </c>
      <c r="AH153" s="64">
        <f t="shared" si="31"/>
        <v>0</v>
      </c>
      <c r="AI153" s="64">
        <f t="shared" si="31"/>
        <v>0</v>
      </c>
      <c r="AJ153" s="64">
        <f t="shared" si="31"/>
        <v>0</v>
      </c>
      <c r="AK153" s="64">
        <f t="shared" si="31"/>
        <v>0</v>
      </c>
      <c r="AL153" s="64">
        <f t="shared" si="31"/>
        <v>0</v>
      </c>
      <c r="AM153" s="64">
        <f t="shared" si="31"/>
        <v>0</v>
      </c>
      <c r="AN153" s="64">
        <f t="shared" si="31"/>
        <v>0</v>
      </c>
      <c r="AO153" s="64"/>
      <c r="AP153" s="64">
        <f t="shared" ref="AP153:BE153" si="32">SUM(AP132:AP152)</f>
        <v>0</v>
      </c>
      <c r="AQ153" s="64">
        <f t="shared" si="32"/>
        <v>0</v>
      </c>
      <c r="AR153" s="64">
        <f t="shared" si="32"/>
        <v>0</v>
      </c>
      <c r="AS153" s="64">
        <f t="shared" si="32"/>
        <v>0</v>
      </c>
      <c r="AT153" s="64">
        <f t="shared" si="32"/>
        <v>0</v>
      </c>
      <c r="AU153" s="64">
        <f t="shared" si="32"/>
        <v>0</v>
      </c>
      <c r="AV153" s="64">
        <f t="shared" si="32"/>
        <v>0</v>
      </c>
      <c r="AW153" s="64">
        <f t="shared" si="32"/>
        <v>0</v>
      </c>
      <c r="AX153" s="64">
        <f t="shared" si="32"/>
        <v>0</v>
      </c>
      <c r="AY153" s="64">
        <f t="shared" si="32"/>
        <v>0</v>
      </c>
      <c r="AZ153" s="64">
        <f t="shared" si="32"/>
        <v>0</v>
      </c>
      <c r="BA153" s="64">
        <f t="shared" si="32"/>
        <v>0</v>
      </c>
      <c r="BB153" s="64">
        <f t="shared" si="32"/>
        <v>0</v>
      </c>
      <c r="BC153" s="64">
        <f t="shared" si="32"/>
        <v>0</v>
      </c>
      <c r="BD153" s="64">
        <f t="shared" si="32"/>
        <v>0</v>
      </c>
      <c r="BE153" s="64">
        <f t="shared" si="32"/>
        <v>0</v>
      </c>
      <c r="BF153" s="64"/>
      <c r="BG153" s="64">
        <f>SUM(BG132:BG152)</f>
        <v>0</v>
      </c>
    </row>
    <row r="154" spans="1:59" x14ac:dyDescent="0.3">
      <c r="A154" s="11"/>
      <c r="B154" s="165"/>
      <c r="C154" s="156"/>
      <c r="D154" s="157"/>
      <c r="E154" s="12"/>
      <c r="F154" s="162"/>
      <c r="G154" s="162"/>
      <c r="H154" s="162"/>
      <c r="I154" s="159"/>
      <c r="J154" s="11"/>
      <c r="K154" s="49">
        <f t="shared" si="19"/>
        <v>0</v>
      </c>
      <c r="L154" s="62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</row>
    <row r="155" spans="1:59" x14ac:dyDescent="0.3">
      <c r="A155" s="180"/>
      <c r="B155" s="12"/>
      <c r="C155" s="156"/>
      <c r="D155" s="157">
        <f t="shared" ref="D155:D168" si="33">+I155-E155</f>
        <v>0</v>
      </c>
      <c r="E155" s="12"/>
      <c r="F155" s="162"/>
      <c r="G155" s="162"/>
      <c r="H155" s="162"/>
      <c r="I155" s="159"/>
      <c r="J155" s="11"/>
      <c r="K155" s="49">
        <f t="shared" si="19"/>
        <v>0</v>
      </c>
      <c r="L155" s="62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</row>
    <row r="156" spans="1:59" x14ac:dyDescent="0.3">
      <c r="A156" s="180"/>
      <c r="B156" s="12"/>
      <c r="C156" s="156"/>
      <c r="D156" s="157">
        <f t="shared" si="33"/>
        <v>0</v>
      </c>
      <c r="E156" s="12"/>
      <c r="F156" s="162"/>
      <c r="G156" s="162"/>
      <c r="H156" s="162"/>
      <c r="I156" s="159"/>
      <c r="J156" s="11"/>
      <c r="K156" s="49">
        <f t="shared" si="19"/>
        <v>0</v>
      </c>
      <c r="L156" s="62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</row>
    <row r="157" spans="1:59" x14ac:dyDescent="0.3">
      <c r="A157" s="180"/>
      <c r="B157" s="12"/>
      <c r="C157" s="156"/>
      <c r="D157" s="157">
        <f t="shared" si="33"/>
        <v>0</v>
      </c>
      <c r="E157" s="12"/>
      <c r="F157" s="162"/>
      <c r="G157" s="162"/>
      <c r="H157" s="162"/>
      <c r="I157" s="159"/>
      <c r="J157" s="11"/>
      <c r="K157" s="49">
        <f t="shared" si="19"/>
        <v>0</v>
      </c>
      <c r="L157" s="62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</row>
    <row r="158" spans="1:59" x14ac:dyDescent="0.3">
      <c r="A158" s="180"/>
      <c r="B158" s="12"/>
      <c r="C158" s="156"/>
      <c r="D158" s="157">
        <f t="shared" si="33"/>
        <v>0</v>
      </c>
      <c r="E158" s="12"/>
      <c r="F158" s="162"/>
      <c r="G158" s="162"/>
      <c r="H158" s="162"/>
      <c r="I158" s="159"/>
      <c r="J158" s="11"/>
      <c r="K158" s="49">
        <f t="shared" si="19"/>
        <v>0</v>
      </c>
      <c r="L158" s="62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</row>
    <row r="159" spans="1:59" x14ac:dyDescent="0.3">
      <c r="A159" s="180"/>
      <c r="B159" s="12"/>
      <c r="C159" s="156"/>
      <c r="D159" s="157">
        <f t="shared" si="33"/>
        <v>0</v>
      </c>
      <c r="E159" s="12"/>
      <c r="F159" s="162"/>
      <c r="G159" s="162"/>
      <c r="H159" s="162"/>
      <c r="I159" s="159"/>
      <c r="J159" s="11"/>
      <c r="K159" s="49">
        <f t="shared" si="19"/>
        <v>0</v>
      </c>
      <c r="L159" s="62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</row>
    <row r="160" spans="1:59" x14ac:dyDescent="0.3">
      <c r="A160" s="180"/>
      <c r="B160" s="12"/>
      <c r="C160" s="156"/>
      <c r="D160" s="157">
        <f t="shared" si="33"/>
        <v>0</v>
      </c>
      <c r="E160" s="12"/>
      <c r="F160" s="162"/>
      <c r="G160" s="162"/>
      <c r="H160" s="162"/>
      <c r="I160" s="159"/>
      <c r="J160" s="11"/>
      <c r="K160" s="49">
        <f t="shared" si="19"/>
        <v>0</v>
      </c>
      <c r="L160" s="62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</row>
    <row r="161" spans="1:59" x14ac:dyDescent="0.3">
      <c r="A161" s="180"/>
      <c r="B161" s="12"/>
      <c r="C161" s="156"/>
      <c r="D161" s="157">
        <f t="shared" si="33"/>
        <v>0</v>
      </c>
      <c r="E161" s="12"/>
      <c r="F161" s="162"/>
      <c r="G161" s="162"/>
      <c r="H161" s="162"/>
      <c r="I161" s="159"/>
      <c r="J161" s="11"/>
      <c r="K161" s="49">
        <f t="shared" si="19"/>
        <v>0</v>
      </c>
      <c r="L161" s="62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</row>
    <row r="162" spans="1:59" x14ac:dyDescent="0.3">
      <c r="A162" s="180"/>
      <c r="B162" s="12"/>
      <c r="C162" s="156"/>
      <c r="D162" s="157">
        <f t="shared" si="33"/>
        <v>0</v>
      </c>
      <c r="E162" s="12"/>
      <c r="F162" s="162"/>
      <c r="G162" s="162"/>
      <c r="H162" s="162"/>
      <c r="I162" s="159"/>
      <c r="J162" s="11"/>
      <c r="K162" s="49">
        <f t="shared" si="19"/>
        <v>0</v>
      </c>
      <c r="L162" s="62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</row>
    <row r="163" spans="1:59" x14ac:dyDescent="0.3">
      <c r="A163" s="180"/>
      <c r="B163" s="12"/>
      <c r="C163" s="156"/>
      <c r="D163" s="157">
        <f t="shared" si="33"/>
        <v>0</v>
      </c>
      <c r="E163" s="12"/>
      <c r="F163" s="162"/>
      <c r="G163" s="162"/>
      <c r="H163" s="162"/>
      <c r="I163" s="159"/>
      <c r="J163" s="11"/>
      <c r="K163" s="49">
        <f t="shared" si="19"/>
        <v>0</v>
      </c>
      <c r="L163" s="62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</row>
    <row r="164" spans="1:59" x14ac:dyDescent="0.3">
      <c r="A164" s="180"/>
      <c r="B164" s="12"/>
      <c r="C164" s="156"/>
      <c r="D164" s="157">
        <f t="shared" si="33"/>
        <v>0</v>
      </c>
      <c r="E164" s="12"/>
      <c r="F164" s="162"/>
      <c r="G164" s="162"/>
      <c r="H164" s="162"/>
      <c r="I164" s="159"/>
      <c r="J164" s="11"/>
      <c r="K164" s="49">
        <f t="shared" si="19"/>
        <v>0</v>
      </c>
      <c r="L164" s="62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</row>
    <row r="165" spans="1:59" x14ac:dyDescent="0.3">
      <c r="A165" s="180"/>
      <c r="B165" s="12"/>
      <c r="C165" s="156"/>
      <c r="D165" s="157">
        <f t="shared" si="33"/>
        <v>0</v>
      </c>
      <c r="E165" s="12"/>
      <c r="F165" s="162"/>
      <c r="G165" s="162"/>
      <c r="H165" s="162"/>
      <c r="I165" s="159"/>
      <c r="J165" s="11"/>
      <c r="K165" s="49">
        <f t="shared" si="19"/>
        <v>0</v>
      </c>
      <c r="L165" s="62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</row>
    <row r="166" spans="1:59" x14ac:dyDescent="0.3">
      <c r="A166" s="180"/>
      <c r="B166" s="12"/>
      <c r="C166" s="156"/>
      <c r="D166" s="157">
        <f t="shared" si="33"/>
        <v>0</v>
      </c>
      <c r="E166" s="12"/>
      <c r="F166" s="162"/>
      <c r="G166" s="162"/>
      <c r="H166" s="162"/>
      <c r="I166" s="159"/>
      <c r="J166" s="11"/>
      <c r="K166" s="49">
        <f t="shared" si="19"/>
        <v>0</v>
      </c>
      <c r="L166" s="62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</row>
    <row r="167" spans="1:59" x14ac:dyDescent="0.3">
      <c r="A167" s="180"/>
      <c r="B167" s="12"/>
      <c r="C167" s="156"/>
      <c r="D167" s="157">
        <f t="shared" si="33"/>
        <v>0</v>
      </c>
      <c r="E167" s="12"/>
      <c r="F167" s="162"/>
      <c r="G167" s="162"/>
      <c r="H167" s="162"/>
      <c r="I167" s="159"/>
      <c r="J167" s="11"/>
      <c r="K167" s="49">
        <f t="shared" si="19"/>
        <v>0</v>
      </c>
      <c r="L167" s="62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</row>
    <row r="168" spans="1:59" x14ac:dyDescent="0.3">
      <c r="A168" s="180"/>
      <c r="B168" s="12"/>
      <c r="C168" s="156"/>
      <c r="D168" s="157">
        <f t="shared" si="33"/>
        <v>0</v>
      </c>
      <c r="E168" s="12"/>
      <c r="F168" s="162"/>
      <c r="G168" s="162"/>
      <c r="H168" s="162"/>
      <c r="I168" s="159"/>
      <c r="J168" s="11"/>
      <c r="K168" s="49">
        <f t="shared" si="19"/>
        <v>0</v>
      </c>
      <c r="L168" s="62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</row>
    <row r="169" spans="1:59" x14ac:dyDescent="0.3">
      <c r="A169" s="161"/>
      <c r="B169" s="12"/>
      <c r="C169" s="156"/>
      <c r="D169" s="157">
        <f>+I169-E169</f>
        <v>0</v>
      </c>
      <c r="E169" s="12"/>
      <c r="F169" s="162"/>
      <c r="G169" s="162"/>
      <c r="H169" s="162"/>
      <c r="I169" s="159"/>
      <c r="J169" s="11"/>
      <c r="K169" s="49">
        <f t="shared" si="19"/>
        <v>0</v>
      </c>
      <c r="L169" s="62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>
        <f>+AP169+AN169+AM169+AL169+AK169+AJ169+AI169+AH169+AG169+AF169+AE169+AD169+AC169+AB169+AA169+Z169+Y169+X169+W169+V169+U169+T169+S169+R169+Q169+P169+O169+N169+M169</f>
        <v>0</v>
      </c>
    </row>
    <row r="170" spans="1:59" ht="18" x14ac:dyDescent="0.35">
      <c r="A170" s="11"/>
      <c r="B170" s="167" t="s">
        <v>186</v>
      </c>
      <c r="C170" s="168"/>
      <c r="D170" s="48">
        <f t="shared" ref="D170:J170" si="34">SUM(D154:D169)</f>
        <v>0</v>
      </c>
      <c r="E170" s="48">
        <f t="shared" si="34"/>
        <v>0</v>
      </c>
      <c r="F170" s="48">
        <f t="shared" si="34"/>
        <v>0</v>
      </c>
      <c r="G170" s="48">
        <f t="shared" si="34"/>
        <v>0</v>
      </c>
      <c r="H170" s="48">
        <f t="shared" si="34"/>
        <v>0</v>
      </c>
      <c r="I170" s="48">
        <f t="shared" si="34"/>
        <v>0</v>
      </c>
      <c r="J170" s="176">
        <f t="shared" si="34"/>
        <v>0</v>
      </c>
      <c r="K170" s="48">
        <f t="shared" si="19"/>
        <v>0</v>
      </c>
      <c r="L170" s="62"/>
      <c r="M170" s="64">
        <f t="shared" ref="M170:AN170" si="35">SUM(M154:M169)</f>
        <v>0</v>
      </c>
      <c r="N170" s="64">
        <f t="shared" si="35"/>
        <v>0</v>
      </c>
      <c r="O170" s="64">
        <f t="shared" si="35"/>
        <v>0</v>
      </c>
      <c r="P170" s="64">
        <f t="shared" si="35"/>
        <v>0</v>
      </c>
      <c r="Q170" s="64">
        <f t="shared" si="35"/>
        <v>0</v>
      </c>
      <c r="R170" s="64">
        <f t="shared" si="35"/>
        <v>0</v>
      </c>
      <c r="S170" s="64">
        <f t="shared" si="35"/>
        <v>0</v>
      </c>
      <c r="T170" s="64">
        <f t="shared" si="35"/>
        <v>0</v>
      </c>
      <c r="U170" s="64">
        <f t="shared" si="35"/>
        <v>0</v>
      </c>
      <c r="V170" s="64">
        <f t="shared" si="35"/>
        <v>0</v>
      </c>
      <c r="W170" s="64">
        <f t="shared" si="35"/>
        <v>0</v>
      </c>
      <c r="X170" s="64">
        <f t="shared" si="35"/>
        <v>0</v>
      </c>
      <c r="Y170" s="64">
        <f t="shared" si="35"/>
        <v>0</v>
      </c>
      <c r="Z170" s="64">
        <f t="shared" si="35"/>
        <v>0</v>
      </c>
      <c r="AA170" s="64">
        <f t="shared" si="35"/>
        <v>0</v>
      </c>
      <c r="AB170" s="64">
        <f t="shared" si="35"/>
        <v>0</v>
      </c>
      <c r="AC170" s="64">
        <f t="shared" si="35"/>
        <v>0</v>
      </c>
      <c r="AD170" s="64">
        <f t="shared" si="35"/>
        <v>0</v>
      </c>
      <c r="AE170" s="64">
        <f t="shared" si="35"/>
        <v>0</v>
      </c>
      <c r="AF170" s="64">
        <f t="shared" si="35"/>
        <v>0</v>
      </c>
      <c r="AG170" s="64">
        <f t="shared" si="35"/>
        <v>0</v>
      </c>
      <c r="AH170" s="64">
        <f t="shared" si="35"/>
        <v>0</v>
      </c>
      <c r="AI170" s="64">
        <f t="shared" si="35"/>
        <v>0</v>
      </c>
      <c r="AJ170" s="64">
        <f t="shared" si="35"/>
        <v>0</v>
      </c>
      <c r="AK170" s="64">
        <f t="shared" si="35"/>
        <v>0</v>
      </c>
      <c r="AL170" s="64">
        <f t="shared" si="35"/>
        <v>0</v>
      </c>
      <c r="AM170" s="64">
        <f t="shared" si="35"/>
        <v>0</v>
      </c>
      <c r="AN170" s="64">
        <f t="shared" si="35"/>
        <v>0</v>
      </c>
      <c r="AO170" s="64"/>
      <c r="AP170" s="64">
        <f t="shared" ref="AP170:BE170" si="36">SUM(AP154:AP169)</f>
        <v>0</v>
      </c>
      <c r="AQ170" s="64">
        <f t="shared" si="36"/>
        <v>0</v>
      </c>
      <c r="AR170" s="64">
        <f t="shared" si="36"/>
        <v>0</v>
      </c>
      <c r="AS170" s="64">
        <f t="shared" si="36"/>
        <v>0</v>
      </c>
      <c r="AT170" s="64">
        <f t="shared" si="36"/>
        <v>0</v>
      </c>
      <c r="AU170" s="64">
        <f t="shared" si="36"/>
        <v>0</v>
      </c>
      <c r="AV170" s="64">
        <f t="shared" si="36"/>
        <v>0</v>
      </c>
      <c r="AW170" s="64">
        <f t="shared" si="36"/>
        <v>0</v>
      </c>
      <c r="AX170" s="64">
        <f t="shared" si="36"/>
        <v>0</v>
      </c>
      <c r="AY170" s="64">
        <f t="shared" si="36"/>
        <v>0</v>
      </c>
      <c r="AZ170" s="64">
        <f t="shared" si="36"/>
        <v>0</v>
      </c>
      <c r="BA170" s="64">
        <f t="shared" si="36"/>
        <v>0</v>
      </c>
      <c r="BB170" s="64">
        <f t="shared" si="36"/>
        <v>0</v>
      </c>
      <c r="BC170" s="64">
        <f t="shared" si="36"/>
        <v>0</v>
      </c>
      <c r="BD170" s="64">
        <f t="shared" si="36"/>
        <v>0</v>
      </c>
      <c r="BE170" s="64">
        <f t="shared" si="36"/>
        <v>0</v>
      </c>
      <c r="BF170" s="64"/>
      <c r="BG170" s="64">
        <f>SUM(BG154:BG169)</f>
        <v>0</v>
      </c>
    </row>
    <row r="171" spans="1:59" x14ac:dyDescent="0.3">
      <c r="A171" s="11"/>
      <c r="B171" s="12"/>
      <c r="C171" s="156"/>
      <c r="D171" s="157"/>
      <c r="E171" s="12"/>
      <c r="F171" s="162"/>
      <c r="G171" s="162"/>
      <c r="H171" s="162"/>
      <c r="I171" s="159"/>
      <c r="J171" s="11"/>
      <c r="K171" s="49">
        <f t="shared" si="19"/>
        <v>0</v>
      </c>
      <c r="L171" s="62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</row>
    <row r="172" spans="1:59" x14ac:dyDescent="0.3">
      <c r="A172" s="180"/>
      <c r="B172" s="12"/>
      <c r="C172" s="156"/>
      <c r="D172" s="157">
        <f t="shared" ref="D172:D184" si="37">+I172-E172</f>
        <v>0</v>
      </c>
      <c r="E172" s="12"/>
      <c r="F172" s="162"/>
      <c r="G172" s="162"/>
      <c r="H172" s="162"/>
      <c r="I172" s="159"/>
      <c r="J172" s="11"/>
      <c r="K172" s="49">
        <f t="shared" si="19"/>
        <v>0</v>
      </c>
      <c r="L172" s="62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</row>
    <row r="173" spans="1:59" x14ac:dyDescent="0.3">
      <c r="A173" s="180"/>
      <c r="B173" s="12"/>
      <c r="C173" s="156"/>
      <c r="D173" s="157">
        <f t="shared" si="37"/>
        <v>0</v>
      </c>
      <c r="E173" s="12"/>
      <c r="F173" s="162"/>
      <c r="G173" s="162"/>
      <c r="H173" s="162"/>
      <c r="I173" s="159"/>
      <c r="J173" s="11"/>
      <c r="K173" s="49">
        <f t="shared" si="19"/>
        <v>0</v>
      </c>
      <c r="L173" s="62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</row>
    <row r="174" spans="1:59" x14ac:dyDescent="0.3">
      <c r="A174" s="180"/>
      <c r="B174" s="12"/>
      <c r="C174" s="156"/>
      <c r="D174" s="157">
        <f t="shared" si="37"/>
        <v>0</v>
      </c>
      <c r="E174" s="12"/>
      <c r="F174" s="162"/>
      <c r="G174" s="162"/>
      <c r="H174" s="162"/>
      <c r="I174" s="159"/>
      <c r="J174" s="11"/>
      <c r="K174" s="49">
        <f t="shared" si="19"/>
        <v>0</v>
      </c>
      <c r="L174" s="62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</row>
    <row r="175" spans="1:59" x14ac:dyDescent="0.3">
      <c r="A175" s="180"/>
      <c r="B175" s="12"/>
      <c r="C175" s="156"/>
      <c r="D175" s="157">
        <f t="shared" si="37"/>
        <v>0</v>
      </c>
      <c r="E175" s="12"/>
      <c r="F175" s="162"/>
      <c r="G175" s="162"/>
      <c r="H175" s="162"/>
      <c r="I175" s="159"/>
      <c r="J175" s="11"/>
      <c r="K175" s="49">
        <f t="shared" si="19"/>
        <v>0</v>
      </c>
      <c r="L175" s="62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</row>
    <row r="176" spans="1:59" x14ac:dyDescent="0.3">
      <c r="A176" s="180"/>
      <c r="B176" s="12"/>
      <c r="C176" s="156"/>
      <c r="D176" s="157">
        <f t="shared" si="37"/>
        <v>0</v>
      </c>
      <c r="E176" s="12"/>
      <c r="F176" s="162"/>
      <c r="G176" s="162"/>
      <c r="H176" s="162"/>
      <c r="I176" s="159"/>
      <c r="J176" s="11"/>
      <c r="K176" s="49">
        <f t="shared" si="19"/>
        <v>0</v>
      </c>
      <c r="L176" s="62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</row>
    <row r="177" spans="1:59" x14ac:dyDescent="0.3">
      <c r="A177" s="180"/>
      <c r="B177" s="12"/>
      <c r="C177" s="156"/>
      <c r="D177" s="157">
        <f t="shared" si="37"/>
        <v>0</v>
      </c>
      <c r="E177" s="12"/>
      <c r="F177" s="162"/>
      <c r="G177" s="162"/>
      <c r="H177" s="162"/>
      <c r="I177" s="159"/>
      <c r="J177" s="11"/>
      <c r="K177" s="49">
        <f t="shared" si="19"/>
        <v>0</v>
      </c>
      <c r="L177" s="62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</row>
    <row r="178" spans="1:59" x14ac:dyDescent="0.3">
      <c r="A178" s="180"/>
      <c r="B178" s="12"/>
      <c r="C178" s="156"/>
      <c r="D178" s="157">
        <f t="shared" si="37"/>
        <v>0</v>
      </c>
      <c r="E178" s="12"/>
      <c r="F178" s="162"/>
      <c r="G178" s="162"/>
      <c r="H178" s="162"/>
      <c r="I178" s="159"/>
      <c r="J178" s="11"/>
      <c r="K178" s="49">
        <f t="shared" si="19"/>
        <v>0</v>
      </c>
      <c r="L178" s="62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</row>
    <row r="179" spans="1:59" x14ac:dyDescent="0.3">
      <c r="A179" s="180"/>
      <c r="B179" s="12"/>
      <c r="C179" s="156"/>
      <c r="D179" s="157">
        <f t="shared" si="37"/>
        <v>0</v>
      </c>
      <c r="E179" s="12"/>
      <c r="F179" s="162"/>
      <c r="G179" s="162"/>
      <c r="H179" s="162"/>
      <c r="I179" s="159"/>
      <c r="J179" s="11"/>
      <c r="K179" s="49">
        <f t="shared" si="19"/>
        <v>0</v>
      </c>
      <c r="L179" s="62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</row>
    <row r="180" spans="1:59" x14ac:dyDescent="0.3">
      <c r="A180" s="180"/>
      <c r="B180" s="12"/>
      <c r="C180" s="156"/>
      <c r="D180" s="157">
        <f t="shared" si="37"/>
        <v>0</v>
      </c>
      <c r="E180" s="12"/>
      <c r="F180" s="162"/>
      <c r="G180" s="162"/>
      <c r="H180" s="162"/>
      <c r="I180" s="159"/>
      <c r="J180" s="11"/>
      <c r="K180" s="49">
        <f t="shared" si="19"/>
        <v>0</v>
      </c>
      <c r="L180" s="62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</row>
    <row r="181" spans="1:59" x14ac:dyDescent="0.3">
      <c r="A181" s="180"/>
      <c r="B181" s="165"/>
      <c r="C181" s="156"/>
      <c r="D181" s="157">
        <f t="shared" si="37"/>
        <v>0</v>
      </c>
      <c r="E181" s="12"/>
      <c r="F181" s="162"/>
      <c r="G181" s="162"/>
      <c r="H181" s="162"/>
      <c r="I181" s="159"/>
      <c r="J181" s="11"/>
      <c r="K181" s="49">
        <f t="shared" si="19"/>
        <v>0</v>
      </c>
      <c r="L181" s="62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</row>
    <row r="182" spans="1:59" x14ac:dyDescent="0.3">
      <c r="A182" s="180"/>
      <c r="B182" s="12"/>
      <c r="C182" s="156"/>
      <c r="D182" s="157">
        <f t="shared" si="37"/>
        <v>0</v>
      </c>
      <c r="E182" s="12"/>
      <c r="F182" s="162"/>
      <c r="G182" s="162"/>
      <c r="H182" s="162"/>
      <c r="I182" s="159"/>
      <c r="J182" s="11"/>
      <c r="K182" s="49">
        <f t="shared" si="19"/>
        <v>0</v>
      </c>
      <c r="L182" s="62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</row>
    <row r="183" spans="1:59" x14ac:dyDescent="0.3">
      <c r="A183" s="180"/>
      <c r="B183" s="12"/>
      <c r="C183" s="156"/>
      <c r="D183" s="157">
        <f t="shared" si="37"/>
        <v>0</v>
      </c>
      <c r="E183" s="12"/>
      <c r="F183" s="162"/>
      <c r="G183" s="162"/>
      <c r="H183" s="162"/>
      <c r="I183" s="159"/>
      <c r="J183" s="11"/>
      <c r="K183" s="49">
        <f t="shared" si="19"/>
        <v>0</v>
      </c>
      <c r="L183" s="62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</row>
    <row r="184" spans="1:59" x14ac:dyDescent="0.3">
      <c r="A184" s="180"/>
      <c r="B184" s="12"/>
      <c r="C184" s="156"/>
      <c r="D184" s="157">
        <f t="shared" si="37"/>
        <v>0</v>
      </c>
      <c r="E184" s="12"/>
      <c r="F184" s="162"/>
      <c r="G184" s="162"/>
      <c r="H184" s="162"/>
      <c r="I184" s="159"/>
      <c r="J184" s="11"/>
      <c r="K184" s="49">
        <f t="shared" si="19"/>
        <v>0</v>
      </c>
      <c r="L184" s="62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</row>
    <row r="185" spans="1:59" x14ac:dyDescent="0.3">
      <c r="A185" s="161"/>
      <c r="B185" s="12"/>
      <c r="C185" s="156"/>
      <c r="D185" s="157">
        <f>+I185-E185</f>
        <v>0</v>
      </c>
      <c r="E185" s="12"/>
      <c r="F185" s="171"/>
      <c r="G185" s="171"/>
      <c r="H185" s="171"/>
      <c r="I185" s="159"/>
      <c r="J185" s="12"/>
      <c r="K185" s="49">
        <f t="shared" si="19"/>
        <v>0</v>
      </c>
      <c r="L185" s="62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49">
        <f>+AV185+AU185+AT185+AS185+AR185+AQ185+AP185+AN185+AM185+AL185+AK185+AJ185+AI185+AH185+AG185+AF185+AE185+AD185+AC185+AB185+AA185+Z185+Y185+X185+W185+V185+U185+T185+S185+R185+Q185+P185+O185+N185+M185</f>
        <v>0</v>
      </c>
    </row>
    <row r="186" spans="1:59" ht="18" x14ac:dyDescent="0.35">
      <c r="A186" s="11"/>
      <c r="B186" s="167" t="s">
        <v>187</v>
      </c>
      <c r="C186" s="168"/>
      <c r="D186" s="48">
        <f>SUM(D171:D185)</f>
        <v>0</v>
      </c>
      <c r="E186" s="47"/>
      <c r="F186" s="48">
        <f>SUM(F171:F185)</f>
        <v>0</v>
      </c>
      <c r="G186" s="48">
        <f>SUM(G171:G185)</f>
        <v>0</v>
      </c>
      <c r="H186" s="48">
        <f>SUM(H171:H185)</f>
        <v>0</v>
      </c>
      <c r="I186" s="48">
        <f>SUM(I171:I185)</f>
        <v>0</v>
      </c>
      <c r="J186" s="47">
        <f>SUM(J171:J185)</f>
        <v>0</v>
      </c>
      <c r="K186" s="48">
        <f t="shared" si="19"/>
        <v>0</v>
      </c>
      <c r="L186" s="62"/>
      <c r="M186" s="64">
        <f t="shared" ref="M186:AN186" si="38">SUM(M171:M185)</f>
        <v>0</v>
      </c>
      <c r="N186" s="64">
        <f t="shared" si="38"/>
        <v>0</v>
      </c>
      <c r="O186" s="64">
        <f t="shared" si="38"/>
        <v>0</v>
      </c>
      <c r="P186" s="64">
        <f t="shared" si="38"/>
        <v>0</v>
      </c>
      <c r="Q186" s="64">
        <f t="shared" si="38"/>
        <v>0</v>
      </c>
      <c r="R186" s="64">
        <f t="shared" si="38"/>
        <v>0</v>
      </c>
      <c r="S186" s="64">
        <f t="shared" si="38"/>
        <v>0</v>
      </c>
      <c r="T186" s="64">
        <f t="shared" si="38"/>
        <v>0</v>
      </c>
      <c r="U186" s="64">
        <f t="shared" si="38"/>
        <v>0</v>
      </c>
      <c r="V186" s="64">
        <f t="shared" si="38"/>
        <v>0</v>
      </c>
      <c r="W186" s="64">
        <f t="shared" si="38"/>
        <v>0</v>
      </c>
      <c r="X186" s="64">
        <f t="shared" si="38"/>
        <v>0</v>
      </c>
      <c r="Y186" s="64">
        <f t="shared" si="38"/>
        <v>0</v>
      </c>
      <c r="Z186" s="64">
        <f t="shared" si="38"/>
        <v>0</v>
      </c>
      <c r="AA186" s="64">
        <f t="shared" si="38"/>
        <v>0</v>
      </c>
      <c r="AB186" s="64">
        <f t="shared" si="38"/>
        <v>0</v>
      </c>
      <c r="AC186" s="64">
        <f t="shared" si="38"/>
        <v>0</v>
      </c>
      <c r="AD186" s="64">
        <f t="shared" si="38"/>
        <v>0</v>
      </c>
      <c r="AE186" s="64">
        <f t="shared" si="38"/>
        <v>0</v>
      </c>
      <c r="AF186" s="64">
        <f t="shared" si="38"/>
        <v>0</v>
      </c>
      <c r="AG186" s="64">
        <f t="shared" si="38"/>
        <v>0</v>
      </c>
      <c r="AH186" s="64">
        <f t="shared" si="38"/>
        <v>0</v>
      </c>
      <c r="AI186" s="64">
        <f t="shared" si="38"/>
        <v>0</v>
      </c>
      <c r="AJ186" s="64">
        <f t="shared" si="38"/>
        <v>0</v>
      </c>
      <c r="AK186" s="64">
        <f t="shared" si="38"/>
        <v>0</v>
      </c>
      <c r="AL186" s="64">
        <f t="shared" si="38"/>
        <v>0</v>
      </c>
      <c r="AM186" s="64">
        <f t="shared" si="38"/>
        <v>0</v>
      </c>
      <c r="AN186" s="64">
        <f t="shared" si="38"/>
        <v>0</v>
      </c>
      <c r="AO186" s="64"/>
      <c r="AP186" s="64">
        <f t="shared" ref="AP186:AV186" si="39">SUM(AP171:AP185)</f>
        <v>0</v>
      </c>
      <c r="AQ186" s="64">
        <f t="shared" si="39"/>
        <v>0</v>
      </c>
      <c r="AR186" s="64">
        <f t="shared" si="39"/>
        <v>0</v>
      </c>
      <c r="AS186" s="64">
        <f t="shared" si="39"/>
        <v>0</v>
      </c>
      <c r="AT186" s="64">
        <f t="shared" si="39"/>
        <v>0</v>
      </c>
      <c r="AU186" s="64">
        <f t="shared" si="39"/>
        <v>0</v>
      </c>
      <c r="AV186" s="64">
        <f t="shared" si="39"/>
        <v>0</v>
      </c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>
        <f>SUM(BG171:BG185)</f>
        <v>0</v>
      </c>
    </row>
    <row r="187" spans="1:59" x14ac:dyDescent="0.3">
      <c r="A187" s="11"/>
      <c r="B187" s="11"/>
      <c r="C187" s="156"/>
      <c r="D187" s="157"/>
      <c r="E187" s="12"/>
      <c r="F187" s="162"/>
      <c r="G187" s="162"/>
      <c r="H187" s="162"/>
      <c r="I187" s="159"/>
      <c r="J187" s="11"/>
      <c r="K187" s="49">
        <f t="shared" ref="K187:K251" si="40">I187-J187</f>
        <v>0</v>
      </c>
      <c r="L187" s="62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</row>
    <row r="188" spans="1:59" x14ac:dyDescent="0.3">
      <c r="A188" s="180"/>
      <c r="B188" s="12"/>
      <c r="C188" s="156"/>
      <c r="D188" s="157">
        <f t="shared" ref="D188:D207" si="41">+I188-E188</f>
        <v>0</v>
      </c>
      <c r="E188" s="12"/>
      <c r="F188" s="162"/>
      <c r="G188" s="162"/>
      <c r="H188" s="162"/>
      <c r="I188" s="159"/>
      <c r="J188" s="11"/>
      <c r="K188" s="49">
        <f t="shared" si="40"/>
        <v>0</v>
      </c>
      <c r="L188" s="62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</row>
    <row r="189" spans="1:59" x14ac:dyDescent="0.3">
      <c r="A189" s="180"/>
      <c r="B189" s="12"/>
      <c r="C189" s="156"/>
      <c r="D189" s="157">
        <f t="shared" si="41"/>
        <v>0</v>
      </c>
      <c r="E189" s="12"/>
      <c r="F189" s="162"/>
      <c r="G189" s="162"/>
      <c r="H189" s="162"/>
      <c r="I189" s="159"/>
      <c r="J189" s="11"/>
      <c r="K189" s="49">
        <f t="shared" si="40"/>
        <v>0</v>
      </c>
      <c r="L189" s="62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</row>
    <row r="190" spans="1:59" x14ac:dyDescent="0.3">
      <c r="A190" s="180"/>
      <c r="B190" s="12"/>
      <c r="C190" s="156"/>
      <c r="D190" s="157">
        <f t="shared" si="41"/>
        <v>0</v>
      </c>
      <c r="E190" s="12"/>
      <c r="F190" s="162"/>
      <c r="G190" s="162"/>
      <c r="H190" s="162"/>
      <c r="I190" s="159"/>
      <c r="J190" s="11"/>
      <c r="K190" s="49">
        <f t="shared" si="40"/>
        <v>0</v>
      </c>
      <c r="L190" s="62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</row>
    <row r="191" spans="1:59" x14ac:dyDescent="0.3">
      <c r="A191" s="180"/>
      <c r="B191" s="12"/>
      <c r="C191" s="156"/>
      <c r="D191" s="157">
        <f t="shared" si="41"/>
        <v>0</v>
      </c>
      <c r="E191" s="12"/>
      <c r="F191" s="162"/>
      <c r="G191" s="162"/>
      <c r="H191" s="162"/>
      <c r="I191" s="159"/>
      <c r="J191" s="11"/>
      <c r="K191" s="49">
        <f t="shared" si="40"/>
        <v>0</v>
      </c>
      <c r="L191" s="62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</row>
    <row r="192" spans="1:59" x14ac:dyDescent="0.3">
      <c r="A192" s="180"/>
      <c r="B192" s="165"/>
      <c r="C192" s="156"/>
      <c r="D192" s="157">
        <f t="shared" si="41"/>
        <v>0</v>
      </c>
      <c r="E192" s="12"/>
      <c r="F192" s="162"/>
      <c r="G192" s="162"/>
      <c r="H192" s="162"/>
      <c r="I192" s="159"/>
      <c r="J192" s="11"/>
      <c r="K192" s="49">
        <f t="shared" si="40"/>
        <v>0</v>
      </c>
      <c r="L192" s="62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</row>
    <row r="193" spans="1:59" x14ac:dyDescent="0.3">
      <c r="A193" s="180"/>
      <c r="B193" s="12"/>
      <c r="C193" s="156"/>
      <c r="D193" s="157">
        <f t="shared" si="41"/>
        <v>0</v>
      </c>
      <c r="E193" s="12"/>
      <c r="F193" s="162"/>
      <c r="G193" s="162"/>
      <c r="H193" s="162"/>
      <c r="I193" s="159"/>
      <c r="J193" s="11"/>
      <c r="K193" s="49">
        <f t="shared" si="40"/>
        <v>0</v>
      </c>
      <c r="L193" s="62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</row>
    <row r="194" spans="1:59" x14ac:dyDescent="0.3">
      <c r="A194" s="180"/>
      <c r="B194" s="12"/>
      <c r="C194" s="156"/>
      <c r="D194" s="157">
        <f t="shared" si="41"/>
        <v>0</v>
      </c>
      <c r="E194" s="12"/>
      <c r="F194" s="162"/>
      <c r="G194" s="162"/>
      <c r="H194" s="162"/>
      <c r="I194" s="159"/>
      <c r="J194" s="11"/>
      <c r="K194" s="49">
        <f t="shared" si="40"/>
        <v>0</v>
      </c>
      <c r="L194" s="62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</row>
    <row r="195" spans="1:59" x14ac:dyDescent="0.3">
      <c r="A195" s="180"/>
      <c r="B195" s="165"/>
      <c r="C195" s="156"/>
      <c r="D195" s="157">
        <f t="shared" si="41"/>
        <v>0</v>
      </c>
      <c r="E195" s="12"/>
      <c r="F195" s="162"/>
      <c r="G195" s="162"/>
      <c r="H195" s="162"/>
      <c r="I195" s="159"/>
      <c r="J195" s="11"/>
      <c r="K195" s="49">
        <f t="shared" si="40"/>
        <v>0</v>
      </c>
      <c r="L195" s="62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</row>
    <row r="196" spans="1:59" x14ac:dyDescent="0.3">
      <c r="A196" s="180"/>
      <c r="B196" s="12"/>
      <c r="C196" s="156"/>
      <c r="D196" s="157">
        <f t="shared" si="41"/>
        <v>0</v>
      </c>
      <c r="E196" s="12"/>
      <c r="F196" s="162"/>
      <c r="G196" s="162"/>
      <c r="H196" s="162"/>
      <c r="I196" s="159"/>
      <c r="J196" s="11"/>
      <c r="K196" s="49">
        <f t="shared" si="40"/>
        <v>0</v>
      </c>
      <c r="L196" s="62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</row>
    <row r="197" spans="1:59" x14ac:dyDescent="0.3">
      <c r="A197" s="180"/>
      <c r="B197" s="12"/>
      <c r="C197" s="156"/>
      <c r="D197" s="157">
        <f t="shared" si="41"/>
        <v>0</v>
      </c>
      <c r="E197" s="12"/>
      <c r="F197" s="162"/>
      <c r="G197" s="162"/>
      <c r="H197" s="162"/>
      <c r="I197" s="159"/>
      <c r="J197" s="11"/>
      <c r="K197" s="49">
        <f t="shared" si="40"/>
        <v>0</v>
      </c>
      <c r="L197" s="62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</row>
    <row r="198" spans="1:59" x14ac:dyDescent="0.3">
      <c r="A198" s="180"/>
      <c r="B198" s="12"/>
      <c r="C198" s="156"/>
      <c r="D198" s="157">
        <f t="shared" si="41"/>
        <v>0</v>
      </c>
      <c r="E198" s="12"/>
      <c r="F198" s="162"/>
      <c r="G198" s="162"/>
      <c r="H198" s="162"/>
      <c r="I198" s="159"/>
      <c r="J198" s="11"/>
      <c r="K198" s="49">
        <f t="shared" si="40"/>
        <v>0</v>
      </c>
      <c r="L198" s="62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</row>
    <row r="199" spans="1:59" x14ac:dyDescent="0.3">
      <c r="A199" s="180"/>
      <c r="B199" s="12"/>
      <c r="C199" s="156"/>
      <c r="D199" s="157">
        <f t="shared" si="41"/>
        <v>0</v>
      </c>
      <c r="E199" s="12"/>
      <c r="F199" s="162"/>
      <c r="G199" s="162"/>
      <c r="H199" s="162"/>
      <c r="I199" s="159"/>
      <c r="J199" s="11"/>
      <c r="K199" s="49">
        <f t="shared" si="40"/>
        <v>0</v>
      </c>
      <c r="L199" s="62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</row>
    <row r="200" spans="1:59" x14ac:dyDescent="0.3">
      <c r="A200" s="180"/>
      <c r="B200" s="12"/>
      <c r="C200" s="156"/>
      <c r="D200" s="157">
        <f t="shared" si="41"/>
        <v>0</v>
      </c>
      <c r="E200" s="12"/>
      <c r="F200" s="162"/>
      <c r="G200" s="162"/>
      <c r="H200" s="162"/>
      <c r="I200" s="159"/>
      <c r="J200" s="11"/>
      <c r="K200" s="49">
        <f t="shared" si="40"/>
        <v>0</v>
      </c>
      <c r="L200" s="62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</row>
    <row r="201" spans="1:59" x14ac:dyDescent="0.3">
      <c r="A201" s="180"/>
      <c r="B201" s="12"/>
      <c r="C201" s="156"/>
      <c r="D201" s="157">
        <f t="shared" si="41"/>
        <v>0</v>
      </c>
      <c r="E201" s="12"/>
      <c r="F201" s="162"/>
      <c r="G201" s="162"/>
      <c r="H201" s="162"/>
      <c r="I201" s="159"/>
      <c r="J201" s="11"/>
      <c r="K201" s="49">
        <f t="shared" si="40"/>
        <v>0</v>
      </c>
      <c r="L201" s="62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</row>
    <row r="202" spans="1:59" x14ac:dyDescent="0.3">
      <c r="A202" s="180"/>
      <c r="B202" s="12"/>
      <c r="C202" s="156"/>
      <c r="D202" s="157">
        <f t="shared" si="41"/>
        <v>0</v>
      </c>
      <c r="E202" s="12"/>
      <c r="F202" s="162"/>
      <c r="G202" s="162"/>
      <c r="H202" s="162"/>
      <c r="I202" s="159"/>
      <c r="J202" s="11"/>
      <c r="K202" s="49">
        <f t="shared" si="40"/>
        <v>0</v>
      </c>
      <c r="L202" s="62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</row>
    <row r="203" spans="1:59" x14ac:dyDescent="0.3">
      <c r="A203" s="180"/>
      <c r="B203" s="12"/>
      <c r="C203" s="156"/>
      <c r="D203" s="157">
        <f t="shared" si="41"/>
        <v>0</v>
      </c>
      <c r="E203" s="12"/>
      <c r="F203" s="162"/>
      <c r="G203" s="162"/>
      <c r="H203" s="162"/>
      <c r="I203" s="159"/>
      <c r="J203" s="11"/>
      <c r="K203" s="49">
        <f t="shared" si="40"/>
        <v>0</v>
      </c>
      <c r="L203" s="62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</row>
    <row r="204" spans="1:59" x14ac:dyDescent="0.3">
      <c r="A204" s="180"/>
      <c r="B204" s="12"/>
      <c r="C204" s="156"/>
      <c r="D204" s="157">
        <f t="shared" si="41"/>
        <v>0</v>
      </c>
      <c r="E204" s="12"/>
      <c r="F204" s="162"/>
      <c r="G204" s="162"/>
      <c r="H204" s="162"/>
      <c r="I204" s="159"/>
      <c r="J204" s="11"/>
      <c r="K204" s="49">
        <f t="shared" si="40"/>
        <v>0</v>
      </c>
      <c r="L204" s="62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</row>
    <row r="205" spans="1:59" x14ac:dyDescent="0.3">
      <c r="A205" s="180"/>
      <c r="B205" s="12"/>
      <c r="C205" s="156"/>
      <c r="D205" s="157">
        <f t="shared" si="41"/>
        <v>0</v>
      </c>
      <c r="E205" s="12"/>
      <c r="F205" s="162"/>
      <c r="G205" s="162"/>
      <c r="H205" s="162"/>
      <c r="I205" s="159"/>
      <c r="J205" s="11"/>
      <c r="K205" s="49">
        <f t="shared" si="40"/>
        <v>0</v>
      </c>
      <c r="L205" s="62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</row>
    <row r="206" spans="1:59" x14ac:dyDescent="0.3">
      <c r="A206" s="180"/>
      <c r="B206" s="12"/>
      <c r="C206" s="156"/>
      <c r="D206" s="157">
        <f t="shared" si="41"/>
        <v>0</v>
      </c>
      <c r="E206" s="12"/>
      <c r="F206" s="162"/>
      <c r="G206" s="162"/>
      <c r="H206" s="162"/>
      <c r="I206" s="159"/>
      <c r="J206" s="11"/>
      <c r="K206" s="49">
        <f t="shared" si="40"/>
        <v>0</v>
      </c>
      <c r="L206" s="62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</row>
    <row r="207" spans="1:59" x14ac:dyDescent="0.3">
      <c r="A207" s="180"/>
      <c r="B207" s="12"/>
      <c r="C207" s="156"/>
      <c r="D207" s="157">
        <f t="shared" si="41"/>
        <v>0</v>
      </c>
      <c r="E207" s="12"/>
      <c r="F207" s="162"/>
      <c r="G207" s="162"/>
      <c r="H207" s="162"/>
      <c r="I207" s="159"/>
      <c r="J207" s="11"/>
      <c r="K207" s="49">
        <f t="shared" si="40"/>
        <v>0</v>
      </c>
      <c r="L207" s="62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</row>
    <row r="208" spans="1:59" x14ac:dyDescent="0.3">
      <c r="A208" s="161"/>
      <c r="B208" s="12"/>
      <c r="C208" s="156"/>
      <c r="D208" s="157">
        <f>+I208-E208</f>
        <v>0</v>
      </c>
      <c r="E208" s="12"/>
      <c r="F208" s="162"/>
      <c r="G208" s="162"/>
      <c r="H208" s="162"/>
      <c r="I208" s="159"/>
      <c r="J208" s="12"/>
      <c r="K208" s="49">
        <f t="shared" si="40"/>
        <v>0</v>
      </c>
      <c r="L208" s="62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49">
        <f>+AV208+AU208+AT208+AS208+AR208+AQ208+AP208+AN208+AM208+AL208+AK208+AJ208+AI208+AH208+AG208+AF208+AE208+AD208+AC208+AB208+AA208+Z208+Y208+X208+W208+V208+U208+T208+S208+R208+Q208+P208+O208+N208+M208</f>
        <v>0</v>
      </c>
    </row>
    <row r="209" spans="1:59" ht="18" x14ac:dyDescent="0.35">
      <c r="A209" s="11"/>
      <c r="B209" s="167" t="s">
        <v>188</v>
      </c>
      <c r="C209" s="168"/>
      <c r="D209" s="48">
        <f>SUM(D187:D208)</f>
        <v>0</v>
      </c>
      <c r="E209" s="47"/>
      <c r="F209" s="48">
        <f>SUM(F187:F208)</f>
        <v>0</v>
      </c>
      <c r="G209" s="48">
        <f>SUM(G187:G208)</f>
        <v>0</v>
      </c>
      <c r="H209" s="48">
        <f>SUM(H187:H208)</f>
        <v>0</v>
      </c>
      <c r="I209" s="48">
        <f>SUM(I187:I208)</f>
        <v>0</v>
      </c>
      <c r="J209" s="48">
        <f>SUM(J187:J208)</f>
        <v>0</v>
      </c>
      <c r="K209" s="48">
        <f t="shared" si="40"/>
        <v>0</v>
      </c>
      <c r="L209" s="62"/>
      <c r="M209" s="64">
        <f t="shared" ref="M209:AD209" si="42">SUM(M187:M187)</f>
        <v>0</v>
      </c>
      <c r="N209" s="64">
        <f t="shared" si="42"/>
        <v>0</v>
      </c>
      <c r="O209" s="64">
        <f t="shared" si="42"/>
        <v>0</v>
      </c>
      <c r="P209" s="64">
        <f t="shared" si="42"/>
        <v>0</v>
      </c>
      <c r="Q209" s="64">
        <f t="shared" si="42"/>
        <v>0</v>
      </c>
      <c r="R209" s="64">
        <f t="shared" si="42"/>
        <v>0</v>
      </c>
      <c r="S209" s="64">
        <f t="shared" si="42"/>
        <v>0</v>
      </c>
      <c r="T209" s="64">
        <f t="shared" si="42"/>
        <v>0</v>
      </c>
      <c r="U209" s="64">
        <f t="shared" si="42"/>
        <v>0</v>
      </c>
      <c r="V209" s="64">
        <f t="shared" si="42"/>
        <v>0</v>
      </c>
      <c r="W209" s="64">
        <f t="shared" si="42"/>
        <v>0</v>
      </c>
      <c r="X209" s="64">
        <f t="shared" si="42"/>
        <v>0</v>
      </c>
      <c r="Y209" s="64">
        <f t="shared" si="42"/>
        <v>0</v>
      </c>
      <c r="Z209" s="64">
        <f t="shared" si="42"/>
        <v>0</v>
      </c>
      <c r="AA209" s="64">
        <f t="shared" si="42"/>
        <v>0</v>
      </c>
      <c r="AB209" s="64">
        <f t="shared" si="42"/>
        <v>0</v>
      </c>
      <c r="AC209" s="64">
        <f t="shared" si="42"/>
        <v>0</v>
      </c>
      <c r="AD209" s="64">
        <f t="shared" si="42"/>
        <v>0</v>
      </c>
      <c r="AE209" s="64">
        <f t="shared" ref="AE209:AP209" si="43">SUM(AE187:AE208)</f>
        <v>0</v>
      </c>
      <c r="AF209" s="64">
        <f t="shared" si="43"/>
        <v>0</v>
      </c>
      <c r="AG209" s="64">
        <f t="shared" si="43"/>
        <v>0</v>
      </c>
      <c r="AH209" s="64">
        <f t="shared" si="43"/>
        <v>0</v>
      </c>
      <c r="AI209" s="64">
        <f t="shared" si="43"/>
        <v>0</v>
      </c>
      <c r="AJ209" s="64">
        <f t="shared" si="43"/>
        <v>0</v>
      </c>
      <c r="AK209" s="64">
        <f t="shared" si="43"/>
        <v>0</v>
      </c>
      <c r="AL209" s="64">
        <f t="shared" si="43"/>
        <v>0</v>
      </c>
      <c r="AM209" s="64">
        <f t="shared" si="43"/>
        <v>0</v>
      </c>
      <c r="AN209" s="64">
        <f t="shared" si="43"/>
        <v>0</v>
      </c>
      <c r="AO209" s="64">
        <f t="shared" si="43"/>
        <v>0</v>
      </c>
      <c r="AP209" s="64">
        <f t="shared" si="43"/>
        <v>0</v>
      </c>
      <c r="AQ209" s="64"/>
      <c r="AR209" s="48">
        <f>SUM(AR187:AR208)</f>
        <v>0</v>
      </c>
      <c r="AS209" s="48">
        <f>SUM(AS187:AS208)</f>
        <v>0</v>
      </c>
      <c r="AT209" s="48">
        <f>SUM(AT187:AT208)</f>
        <v>0</v>
      </c>
      <c r="AU209" s="48">
        <f>SUM(AU187:AU208)</f>
        <v>0</v>
      </c>
      <c r="AV209" s="48">
        <f>SUM(AV187:AV208)</f>
        <v>0</v>
      </c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64">
        <f>SUM(BG187:BG208)</f>
        <v>0</v>
      </c>
    </row>
    <row r="210" spans="1:59" x14ac:dyDescent="0.3">
      <c r="A210" s="11"/>
      <c r="B210" s="11"/>
      <c r="C210" s="156"/>
      <c r="D210" s="157"/>
      <c r="E210" s="12"/>
      <c r="F210" s="162"/>
      <c r="G210" s="162"/>
      <c r="H210" s="162"/>
      <c r="I210" s="159"/>
      <c r="J210" s="11"/>
      <c r="K210" s="49"/>
      <c r="L210" s="62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</row>
    <row r="211" spans="1:59" x14ac:dyDescent="0.3">
      <c r="A211" s="180"/>
      <c r="B211" s="12"/>
      <c r="C211" s="156"/>
      <c r="D211" s="157">
        <f t="shared" ref="D211:D220" si="44">+I211-E211</f>
        <v>0</v>
      </c>
      <c r="E211" s="12"/>
      <c r="F211" s="162"/>
      <c r="G211" s="162"/>
      <c r="H211" s="162"/>
      <c r="I211" s="159"/>
      <c r="J211" s="11"/>
      <c r="K211" s="49">
        <f t="shared" si="40"/>
        <v>0</v>
      </c>
      <c r="L211" s="62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</row>
    <row r="212" spans="1:59" x14ac:dyDescent="0.3">
      <c r="A212" s="180"/>
      <c r="B212" s="12"/>
      <c r="C212" s="156"/>
      <c r="D212" s="157">
        <f t="shared" si="44"/>
        <v>0</v>
      </c>
      <c r="E212" s="12"/>
      <c r="F212" s="162"/>
      <c r="G212" s="162"/>
      <c r="H212" s="162"/>
      <c r="I212" s="159"/>
      <c r="J212" s="11"/>
      <c r="K212" s="49">
        <f t="shared" si="40"/>
        <v>0</v>
      </c>
      <c r="L212" s="62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</row>
    <row r="213" spans="1:59" x14ac:dyDescent="0.3">
      <c r="A213" s="180"/>
      <c r="B213" s="12"/>
      <c r="C213" s="156"/>
      <c r="D213" s="157">
        <f t="shared" si="44"/>
        <v>0</v>
      </c>
      <c r="E213" s="12"/>
      <c r="F213" s="162"/>
      <c r="G213" s="162"/>
      <c r="H213" s="162"/>
      <c r="I213" s="159"/>
      <c r="J213" s="11"/>
      <c r="K213" s="49">
        <f t="shared" si="40"/>
        <v>0</v>
      </c>
      <c r="L213" s="62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</row>
    <row r="214" spans="1:59" x14ac:dyDescent="0.3">
      <c r="A214" s="180"/>
      <c r="B214" s="12"/>
      <c r="C214" s="156"/>
      <c r="D214" s="157">
        <f t="shared" si="44"/>
        <v>0</v>
      </c>
      <c r="E214" s="12"/>
      <c r="F214" s="162"/>
      <c r="G214" s="162"/>
      <c r="H214" s="162"/>
      <c r="I214" s="159"/>
      <c r="J214" s="11"/>
      <c r="K214" s="49">
        <f t="shared" si="40"/>
        <v>0</v>
      </c>
      <c r="L214" s="62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</row>
    <row r="215" spans="1:59" x14ac:dyDescent="0.3">
      <c r="A215" s="180"/>
      <c r="B215" s="165"/>
      <c r="C215" s="156"/>
      <c r="D215" s="157">
        <f t="shared" si="44"/>
        <v>0</v>
      </c>
      <c r="E215" s="12"/>
      <c r="F215" s="162"/>
      <c r="G215" s="162"/>
      <c r="H215" s="162"/>
      <c r="I215" s="159"/>
      <c r="J215" s="11"/>
      <c r="K215" s="49">
        <f t="shared" si="40"/>
        <v>0</v>
      </c>
      <c r="L215" s="62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</row>
    <row r="216" spans="1:59" x14ac:dyDescent="0.3">
      <c r="A216" s="180"/>
      <c r="B216" s="12"/>
      <c r="C216" s="156"/>
      <c r="D216" s="157">
        <f t="shared" si="44"/>
        <v>0</v>
      </c>
      <c r="E216" s="12"/>
      <c r="F216" s="162"/>
      <c r="G216" s="162"/>
      <c r="H216" s="162"/>
      <c r="I216" s="159"/>
      <c r="J216" s="11"/>
      <c r="K216" s="49">
        <f t="shared" si="40"/>
        <v>0</v>
      </c>
      <c r="L216" s="62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</row>
    <row r="217" spans="1:59" x14ac:dyDescent="0.3">
      <c r="A217" s="180"/>
      <c r="B217" s="12"/>
      <c r="C217" s="156"/>
      <c r="D217" s="157">
        <f t="shared" si="44"/>
        <v>0</v>
      </c>
      <c r="E217" s="12"/>
      <c r="F217" s="162"/>
      <c r="G217" s="162"/>
      <c r="H217" s="162"/>
      <c r="I217" s="159"/>
      <c r="J217" s="11"/>
      <c r="K217" s="49">
        <f t="shared" si="40"/>
        <v>0</v>
      </c>
      <c r="L217" s="62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</row>
    <row r="218" spans="1:59" x14ac:dyDescent="0.3">
      <c r="A218" s="180"/>
      <c r="B218" s="12"/>
      <c r="C218" s="156"/>
      <c r="D218" s="157">
        <f t="shared" si="44"/>
        <v>0</v>
      </c>
      <c r="E218" s="12"/>
      <c r="F218" s="162"/>
      <c r="G218" s="162"/>
      <c r="H218" s="162"/>
      <c r="I218" s="159"/>
      <c r="J218" s="11"/>
      <c r="K218" s="49">
        <f t="shared" si="40"/>
        <v>0</v>
      </c>
      <c r="L218" s="62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</row>
    <row r="219" spans="1:59" x14ac:dyDescent="0.3">
      <c r="A219" s="12"/>
      <c r="B219" s="12"/>
      <c r="C219" s="156"/>
      <c r="D219" s="157">
        <f t="shared" si="44"/>
        <v>0</v>
      </c>
      <c r="E219" s="12"/>
      <c r="F219" s="162"/>
      <c r="G219" s="162"/>
      <c r="H219" s="162"/>
      <c r="I219" s="159"/>
      <c r="J219" s="11"/>
      <c r="K219" s="49">
        <f t="shared" si="40"/>
        <v>0</v>
      </c>
      <c r="L219" s="62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</row>
    <row r="220" spans="1:59" x14ac:dyDescent="0.3">
      <c r="A220" s="180"/>
      <c r="B220" s="12"/>
      <c r="C220" s="156"/>
      <c r="D220" s="157">
        <f t="shared" si="44"/>
        <v>0</v>
      </c>
      <c r="E220" s="12"/>
      <c r="F220" s="162"/>
      <c r="G220" s="162"/>
      <c r="H220" s="162"/>
      <c r="I220" s="159"/>
      <c r="J220" s="11"/>
      <c r="K220" s="49">
        <f t="shared" si="40"/>
        <v>0</v>
      </c>
      <c r="L220" s="62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</row>
    <row r="221" spans="1:59" x14ac:dyDescent="0.3">
      <c r="A221" s="161"/>
      <c r="B221" s="12"/>
      <c r="C221" s="156"/>
      <c r="D221" s="157">
        <f>+I221-E221</f>
        <v>0</v>
      </c>
      <c r="E221" s="12"/>
      <c r="F221" s="162"/>
      <c r="G221" s="162"/>
      <c r="H221" s="162"/>
      <c r="I221" s="159"/>
      <c r="J221" s="11"/>
      <c r="K221" s="49">
        <f t="shared" si="40"/>
        <v>0</v>
      </c>
      <c r="L221" s="62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>
        <f>+AP221+AN221+AM221+AL221+AK221+AJ221+AI221+AH221+AG221+AF221+AE221+AD221+AC221+AB221+AA221+Z221+Y221+X221+W221+V221+U221+T221+S221+R221+Q221+P221+O221+N221+M221</f>
        <v>0</v>
      </c>
    </row>
    <row r="222" spans="1:59" ht="18" x14ac:dyDescent="0.35">
      <c r="A222" s="11"/>
      <c r="B222" s="167" t="s">
        <v>189</v>
      </c>
      <c r="C222" s="168"/>
      <c r="D222" s="48">
        <f>SUM(D211:D221)</f>
        <v>0</v>
      </c>
      <c r="E222" s="47"/>
      <c r="F222" s="47">
        <f>SUM(F211:F221)</f>
        <v>0</v>
      </c>
      <c r="G222" s="47">
        <f>SUM(G211:G221)</f>
        <v>0</v>
      </c>
      <c r="H222" s="47">
        <f>SUM(H211:H221)</f>
        <v>0</v>
      </c>
      <c r="I222" s="48">
        <f>SUM(I211:I221)</f>
        <v>0</v>
      </c>
      <c r="J222" s="47">
        <f>SUM(J211:J221)</f>
        <v>0</v>
      </c>
      <c r="K222" s="48">
        <f t="shared" si="40"/>
        <v>0</v>
      </c>
      <c r="L222" s="62"/>
      <c r="M222" s="63">
        <f t="shared" ref="M222:AM222" si="45">SUM(M210:M221)</f>
        <v>0</v>
      </c>
      <c r="N222" s="63">
        <f t="shared" si="45"/>
        <v>0</v>
      </c>
      <c r="O222" s="63">
        <f t="shared" si="45"/>
        <v>0</v>
      </c>
      <c r="P222" s="63">
        <f t="shared" si="45"/>
        <v>0</v>
      </c>
      <c r="Q222" s="63">
        <f t="shared" si="45"/>
        <v>0</v>
      </c>
      <c r="R222" s="63">
        <f t="shared" si="45"/>
        <v>0</v>
      </c>
      <c r="S222" s="63">
        <f t="shared" si="45"/>
        <v>0</v>
      </c>
      <c r="T222" s="63">
        <f t="shared" si="45"/>
        <v>0</v>
      </c>
      <c r="U222" s="63">
        <f t="shared" si="45"/>
        <v>0</v>
      </c>
      <c r="V222" s="63">
        <f t="shared" si="45"/>
        <v>0</v>
      </c>
      <c r="W222" s="63">
        <f t="shared" si="45"/>
        <v>0</v>
      </c>
      <c r="X222" s="63">
        <f t="shared" si="45"/>
        <v>0</v>
      </c>
      <c r="Y222" s="63">
        <f t="shared" si="45"/>
        <v>0</v>
      </c>
      <c r="Z222" s="63">
        <f t="shared" si="45"/>
        <v>0</v>
      </c>
      <c r="AA222" s="63">
        <f t="shared" si="45"/>
        <v>0</v>
      </c>
      <c r="AB222" s="63">
        <f t="shared" si="45"/>
        <v>0</v>
      </c>
      <c r="AC222" s="63">
        <f t="shared" si="45"/>
        <v>0</v>
      </c>
      <c r="AD222" s="63">
        <f t="shared" si="45"/>
        <v>0</v>
      </c>
      <c r="AE222" s="63">
        <f t="shared" si="45"/>
        <v>0</v>
      </c>
      <c r="AF222" s="63">
        <f t="shared" si="45"/>
        <v>0</v>
      </c>
      <c r="AG222" s="63">
        <f t="shared" si="45"/>
        <v>0</v>
      </c>
      <c r="AH222" s="63">
        <f t="shared" si="45"/>
        <v>0</v>
      </c>
      <c r="AI222" s="63">
        <f t="shared" si="45"/>
        <v>0</v>
      </c>
      <c r="AJ222" s="63">
        <f t="shared" si="45"/>
        <v>0</v>
      </c>
      <c r="AK222" s="63">
        <f t="shared" si="45"/>
        <v>0</v>
      </c>
      <c r="AL222" s="63">
        <f t="shared" si="45"/>
        <v>0</v>
      </c>
      <c r="AM222" s="63">
        <f t="shared" si="45"/>
        <v>0</v>
      </c>
      <c r="AN222" s="64">
        <f>SUM(AN221:AN221)</f>
        <v>0</v>
      </c>
      <c r="AO222" s="64"/>
      <c r="AP222" s="64">
        <f t="shared" ref="AP222:AV222" si="46">SUM(AP221:AP221)</f>
        <v>0</v>
      </c>
      <c r="AQ222" s="64">
        <f t="shared" si="46"/>
        <v>0</v>
      </c>
      <c r="AR222" s="64">
        <f t="shared" si="46"/>
        <v>0</v>
      </c>
      <c r="AS222" s="64">
        <f t="shared" si="46"/>
        <v>0</v>
      </c>
      <c r="AT222" s="64">
        <f t="shared" si="46"/>
        <v>0</v>
      </c>
      <c r="AU222" s="64">
        <f t="shared" si="46"/>
        <v>0</v>
      </c>
      <c r="AV222" s="64">
        <f t="shared" si="46"/>
        <v>0</v>
      </c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>
        <f>SUM(BG221:BG221)</f>
        <v>0</v>
      </c>
    </row>
    <row r="223" spans="1:59" x14ac:dyDescent="0.3">
      <c r="A223" s="11"/>
      <c r="B223" s="11"/>
      <c r="C223" s="156"/>
      <c r="D223" s="157"/>
      <c r="E223" s="12"/>
      <c r="F223" s="162"/>
      <c r="G223" s="162"/>
      <c r="H223" s="162"/>
      <c r="I223" s="159"/>
      <c r="J223" s="11"/>
      <c r="K223" s="49">
        <f t="shared" si="40"/>
        <v>0</v>
      </c>
      <c r="L223" s="62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</row>
    <row r="224" spans="1:59" x14ac:dyDescent="0.3">
      <c r="A224" s="180"/>
      <c r="B224" s="12"/>
      <c r="C224" s="156"/>
      <c r="D224" s="157">
        <f t="shared" ref="D224:D243" si="47">+I224-E224</f>
        <v>0</v>
      </c>
      <c r="E224" s="12"/>
      <c r="F224" s="162"/>
      <c r="G224" s="162"/>
      <c r="H224" s="162"/>
      <c r="I224" s="159"/>
      <c r="J224" s="11"/>
      <c r="K224" s="49">
        <f t="shared" si="40"/>
        <v>0</v>
      </c>
      <c r="L224" s="62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</row>
    <row r="225" spans="1:59" x14ac:dyDescent="0.3">
      <c r="A225" s="180"/>
      <c r="B225" s="12"/>
      <c r="C225" s="156"/>
      <c r="D225" s="157">
        <f t="shared" si="47"/>
        <v>0</v>
      </c>
      <c r="E225" s="12"/>
      <c r="F225" s="162"/>
      <c r="G225" s="162"/>
      <c r="H225" s="162"/>
      <c r="I225" s="159"/>
      <c r="J225" s="11"/>
      <c r="K225" s="49">
        <f t="shared" si="40"/>
        <v>0</v>
      </c>
      <c r="L225" s="62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</row>
    <row r="226" spans="1:59" x14ac:dyDescent="0.3">
      <c r="A226" s="180"/>
      <c r="B226" s="12"/>
      <c r="C226" s="156"/>
      <c r="D226" s="157">
        <f t="shared" si="47"/>
        <v>0</v>
      </c>
      <c r="E226" s="12"/>
      <c r="F226" s="162"/>
      <c r="G226" s="162"/>
      <c r="H226" s="162"/>
      <c r="I226" s="159"/>
      <c r="J226" s="11"/>
      <c r="K226" s="49">
        <f t="shared" si="40"/>
        <v>0</v>
      </c>
      <c r="L226" s="62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</row>
    <row r="227" spans="1:59" x14ac:dyDescent="0.3">
      <c r="A227" s="180"/>
      <c r="B227" s="12"/>
      <c r="C227" s="156"/>
      <c r="D227" s="157">
        <f t="shared" si="47"/>
        <v>0</v>
      </c>
      <c r="E227" s="12"/>
      <c r="F227" s="162"/>
      <c r="G227" s="162"/>
      <c r="H227" s="162"/>
      <c r="I227" s="159"/>
      <c r="J227" s="11"/>
      <c r="K227" s="49">
        <f t="shared" si="40"/>
        <v>0</v>
      </c>
      <c r="L227" s="62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</row>
    <row r="228" spans="1:59" x14ac:dyDescent="0.3">
      <c r="A228" s="180"/>
      <c r="B228" s="12"/>
      <c r="C228" s="156"/>
      <c r="D228" s="157">
        <f t="shared" si="47"/>
        <v>0</v>
      </c>
      <c r="E228" s="12"/>
      <c r="F228" s="162"/>
      <c r="G228" s="162"/>
      <c r="H228" s="162"/>
      <c r="I228" s="159"/>
      <c r="J228" s="11"/>
      <c r="K228" s="49">
        <f t="shared" si="40"/>
        <v>0</v>
      </c>
      <c r="L228" s="62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</row>
    <row r="229" spans="1:59" x14ac:dyDescent="0.3">
      <c r="A229" s="180"/>
      <c r="B229" s="12"/>
      <c r="C229" s="156"/>
      <c r="D229" s="157">
        <f t="shared" si="47"/>
        <v>0</v>
      </c>
      <c r="E229" s="12"/>
      <c r="F229" s="162"/>
      <c r="G229" s="162"/>
      <c r="H229" s="162"/>
      <c r="I229" s="159"/>
      <c r="J229" s="11"/>
      <c r="K229" s="49">
        <f t="shared" si="40"/>
        <v>0</v>
      </c>
      <c r="L229" s="62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</row>
    <row r="230" spans="1:59" x14ac:dyDescent="0.3">
      <c r="A230" s="180"/>
      <c r="B230" s="12"/>
      <c r="C230" s="156"/>
      <c r="D230" s="157">
        <f t="shared" si="47"/>
        <v>0</v>
      </c>
      <c r="E230" s="12"/>
      <c r="F230" s="162"/>
      <c r="G230" s="162"/>
      <c r="H230" s="162"/>
      <c r="I230" s="159"/>
      <c r="J230" s="11"/>
      <c r="K230" s="49">
        <f t="shared" si="40"/>
        <v>0</v>
      </c>
      <c r="L230" s="62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</row>
    <row r="231" spans="1:59" x14ac:dyDescent="0.3">
      <c r="A231" s="180"/>
      <c r="B231" s="12"/>
      <c r="C231" s="156"/>
      <c r="D231" s="157">
        <f t="shared" si="47"/>
        <v>0</v>
      </c>
      <c r="E231" s="12"/>
      <c r="F231" s="162"/>
      <c r="G231" s="162"/>
      <c r="H231" s="162"/>
      <c r="I231" s="159"/>
      <c r="J231" s="11"/>
      <c r="K231" s="49">
        <f t="shared" si="40"/>
        <v>0</v>
      </c>
      <c r="L231" s="62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</row>
    <row r="232" spans="1:59" x14ac:dyDescent="0.3">
      <c r="A232" s="180"/>
      <c r="B232" s="12"/>
      <c r="C232" s="156"/>
      <c r="D232" s="157">
        <f t="shared" si="47"/>
        <v>0</v>
      </c>
      <c r="E232" s="12"/>
      <c r="F232" s="162"/>
      <c r="G232" s="162"/>
      <c r="H232" s="162"/>
      <c r="I232" s="159"/>
      <c r="J232" s="11"/>
      <c r="K232" s="49">
        <f t="shared" si="40"/>
        <v>0</v>
      </c>
      <c r="L232" s="62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</row>
    <row r="233" spans="1:59" x14ac:dyDescent="0.3">
      <c r="A233" s="180"/>
      <c r="B233" s="165"/>
      <c r="C233" s="156"/>
      <c r="D233" s="157">
        <f t="shared" si="47"/>
        <v>0</v>
      </c>
      <c r="E233" s="12"/>
      <c r="F233" s="162"/>
      <c r="G233" s="162"/>
      <c r="H233" s="162"/>
      <c r="I233" s="159"/>
      <c r="J233" s="11"/>
      <c r="K233" s="49">
        <f t="shared" si="40"/>
        <v>0</v>
      </c>
      <c r="L233" s="62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</row>
    <row r="234" spans="1:59" x14ac:dyDescent="0.3">
      <c r="A234" s="180"/>
      <c r="B234" s="12"/>
      <c r="C234" s="156"/>
      <c r="D234" s="157">
        <f t="shared" si="47"/>
        <v>0</v>
      </c>
      <c r="E234" s="12"/>
      <c r="F234" s="162"/>
      <c r="G234" s="162"/>
      <c r="H234" s="162"/>
      <c r="I234" s="159"/>
      <c r="J234" s="11"/>
      <c r="K234" s="49">
        <f t="shared" si="40"/>
        <v>0</v>
      </c>
      <c r="L234" s="62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</row>
    <row r="235" spans="1:59" x14ac:dyDescent="0.3">
      <c r="A235" s="180"/>
      <c r="B235" s="12"/>
      <c r="C235" s="156"/>
      <c r="D235" s="157">
        <f t="shared" si="47"/>
        <v>0</v>
      </c>
      <c r="E235" s="12"/>
      <c r="F235" s="162"/>
      <c r="G235" s="162"/>
      <c r="H235" s="162"/>
      <c r="I235" s="159"/>
      <c r="J235" s="11"/>
      <c r="K235" s="49">
        <f t="shared" si="40"/>
        <v>0</v>
      </c>
      <c r="L235" s="62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</row>
    <row r="236" spans="1:59" x14ac:dyDescent="0.3">
      <c r="A236" s="180"/>
      <c r="B236" s="12"/>
      <c r="C236" s="156"/>
      <c r="D236" s="157">
        <f t="shared" si="47"/>
        <v>0</v>
      </c>
      <c r="E236" s="12"/>
      <c r="F236" s="162"/>
      <c r="G236" s="162"/>
      <c r="H236" s="162"/>
      <c r="I236" s="159"/>
      <c r="J236" s="11"/>
      <c r="K236" s="49">
        <f t="shared" si="40"/>
        <v>0</v>
      </c>
      <c r="L236" s="62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</row>
    <row r="237" spans="1:59" x14ac:dyDescent="0.3">
      <c r="A237" s="180"/>
      <c r="B237" s="12"/>
      <c r="C237" s="156"/>
      <c r="D237" s="157">
        <f t="shared" si="47"/>
        <v>0</v>
      </c>
      <c r="E237" s="12"/>
      <c r="F237" s="162"/>
      <c r="G237" s="162"/>
      <c r="H237" s="162"/>
      <c r="I237" s="159"/>
      <c r="J237" s="11"/>
      <c r="K237" s="49">
        <f t="shared" si="40"/>
        <v>0</v>
      </c>
      <c r="L237" s="62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</row>
    <row r="238" spans="1:59" x14ac:dyDescent="0.3">
      <c r="A238" s="180"/>
      <c r="B238" s="12"/>
      <c r="C238" s="156"/>
      <c r="D238" s="157">
        <f t="shared" si="47"/>
        <v>0</v>
      </c>
      <c r="E238" s="12"/>
      <c r="F238" s="162"/>
      <c r="G238" s="162"/>
      <c r="H238" s="162"/>
      <c r="I238" s="159"/>
      <c r="J238" s="11"/>
      <c r="K238" s="49">
        <f t="shared" si="40"/>
        <v>0</v>
      </c>
      <c r="L238" s="62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</row>
    <row r="239" spans="1:59" x14ac:dyDescent="0.3">
      <c r="A239" s="180"/>
      <c r="B239" s="12"/>
      <c r="C239" s="156"/>
      <c r="D239" s="157">
        <f t="shared" si="47"/>
        <v>0</v>
      </c>
      <c r="E239" s="12"/>
      <c r="F239" s="162"/>
      <c r="G239" s="162"/>
      <c r="H239" s="162"/>
      <c r="I239" s="159"/>
      <c r="J239" s="11"/>
      <c r="K239" s="49">
        <f t="shared" si="40"/>
        <v>0</v>
      </c>
      <c r="L239" s="62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</row>
    <row r="240" spans="1:59" x14ac:dyDescent="0.3">
      <c r="A240" s="180"/>
      <c r="B240" s="12"/>
      <c r="C240" s="156"/>
      <c r="D240" s="157">
        <f t="shared" si="47"/>
        <v>0</v>
      </c>
      <c r="E240" s="12"/>
      <c r="F240" s="162"/>
      <c r="G240" s="162"/>
      <c r="H240" s="162"/>
      <c r="I240" s="159"/>
      <c r="J240" s="11"/>
      <c r="K240" s="49">
        <f t="shared" si="40"/>
        <v>0</v>
      </c>
      <c r="L240" s="62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</row>
    <row r="241" spans="1:59" x14ac:dyDescent="0.3">
      <c r="A241" s="180"/>
      <c r="B241" s="12"/>
      <c r="C241" s="156"/>
      <c r="D241" s="157">
        <f t="shared" si="47"/>
        <v>0</v>
      </c>
      <c r="E241" s="12"/>
      <c r="F241" s="162"/>
      <c r="G241" s="162"/>
      <c r="H241" s="162"/>
      <c r="I241" s="159"/>
      <c r="J241" s="11"/>
      <c r="K241" s="49">
        <f t="shared" si="40"/>
        <v>0</v>
      </c>
      <c r="L241" s="62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</row>
    <row r="242" spans="1:59" x14ac:dyDescent="0.3">
      <c r="A242" s="11"/>
      <c r="B242" s="11"/>
      <c r="C242" s="156"/>
      <c r="D242" s="157">
        <f t="shared" si="47"/>
        <v>0</v>
      </c>
      <c r="E242" s="12"/>
      <c r="F242" s="162"/>
      <c r="G242" s="162"/>
      <c r="H242" s="162"/>
      <c r="I242" s="159"/>
      <c r="J242" s="11"/>
      <c r="K242" s="49">
        <f t="shared" si="40"/>
        <v>0</v>
      </c>
      <c r="L242" s="62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</row>
    <row r="243" spans="1:59" x14ac:dyDescent="0.3">
      <c r="A243" s="11"/>
      <c r="B243" s="11"/>
      <c r="C243" s="156"/>
      <c r="D243" s="157">
        <f t="shared" si="47"/>
        <v>0</v>
      </c>
      <c r="E243" s="12"/>
      <c r="F243" s="162"/>
      <c r="G243" s="162"/>
      <c r="H243" s="162"/>
      <c r="I243" s="159"/>
      <c r="J243" s="11"/>
      <c r="K243" s="49">
        <f t="shared" si="40"/>
        <v>0</v>
      </c>
      <c r="L243" s="62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</row>
    <row r="244" spans="1:59" ht="18" x14ac:dyDescent="0.35">
      <c r="A244" s="11"/>
      <c r="B244" s="167" t="s">
        <v>190</v>
      </c>
      <c r="C244" s="168"/>
      <c r="D244" s="48">
        <f>SUM(D243:D243)</f>
        <v>0</v>
      </c>
      <c r="E244" s="47"/>
      <c r="F244" s="47">
        <f>SUM(F243:F243)</f>
        <v>0</v>
      </c>
      <c r="G244" s="47">
        <f>SUM(G243:G243)</f>
        <v>0</v>
      </c>
      <c r="H244" s="47">
        <f>SUM(H243:H243)</f>
        <v>0</v>
      </c>
      <c r="I244" s="47">
        <f>SUM(I223:I243)</f>
        <v>0</v>
      </c>
      <c r="J244" s="47">
        <f>SUM(J223:J243)</f>
        <v>0</v>
      </c>
      <c r="K244" s="48">
        <f t="shared" si="40"/>
        <v>0</v>
      </c>
      <c r="L244" s="177"/>
      <c r="M244" s="64">
        <f t="shared" ref="M244:AV244" si="48">SUM(M243:M243)</f>
        <v>0</v>
      </c>
      <c r="N244" s="64">
        <f t="shared" si="48"/>
        <v>0</v>
      </c>
      <c r="O244" s="64">
        <f t="shared" si="48"/>
        <v>0</v>
      </c>
      <c r="P244" s="64">
        <f t="shared" si="48"/>
        <v>0</v>
      </c>
      <c r="Q244" s="64">
        <f t="shared" si="48"/>
        <v>0</v>
      </c>
      <c r="R244" s="64">
        <f t="shared" si="48"/>
        <v>0</v>
      </c>
      <c r="S244" s="64">
        <f t="shared" si="48"/>
        <v>0</v>
      </c>
      <c r="T244" s="64">
        <f t="shared" si="48"/>
        <v>0</v>
      </c>
      <c r="U244" s="64">
        <f t="shared" si="48"/>
        <v>0</v>
      </c>
      <c r="V244" s="64">
        <f t="shared" si="48"/>
        <v>0</v>
      </c>
      <c r="W244" s="64">
        <f t="shared" si="48"/>
        <v>0</v>
      </c>
      <c r="X244" s="64">
        <f t="shared" si="48"/>
        <v>0</v>
      </c>
      <c r="Y244" s="64">
        <f t="shared" si="48"/>
        <v>0</v>
      </c>
      <c r="Z244" s="64">
        <f t="shared" si="48"/>
        <v>0</v>
      </c>
      <c r="AA244" s="64">
        <f t="shared" si="48"/>
        <v>0</v>
      </c>
      <c r="AB244" s="64">
        <f t="shared" si="48"/>
        <v>0</v>
      </c>
      <c r="AC244" s="64">
        <f t="shared" si="48"/>
        <v>0</v>
      </c>
      <c r="AD244" s="64">
        <f t="shared" si="48"/>
        <v>0</v>
      </c>
      <c r="AE244" s="64">
        <f t="shared" si="48"/>
        <v>0</v>
      </c>
      <c r="AF244" s="64">
        <f t="shared" si="48"/>
        <v>0</v>
      </c>
      <c r="AG244" s="64">
        <f t="shared" si="48"/>
        <v>0</v>
      </c>
      <c r="AH244" s="64">
        <f t="shared" si="48"/>
        <v>0</v>
      </c>
      <c r="AI244" s="64">
        <f t="shared" si="48"/>
        <v>0</v>
      </c>
      <c r="AJ244" s="64">
        <f t="shared" si="48"/>
        <v>0</v>
      </c>
      <c r="AK244" s="64">
        <f t="shared" si="48"/>
        <v>0</v>
      </c>
      <c r="AL244" s="64">
        <f t="shared" si="48"/>
        <v>0</v>
      </c>
      <c r="AM244" s="64">
        <f t="shared" si="48"/>
        <v>0</v>
      </c>
      <c r="AN244" s="64">
        <f t="shared" si="48"/>
        <v>0</v>
      </c>
      <c r="AO244" s="64">
        <f t="shared" si="48"/>
        <v>0</v>
      </c>
      <c r="AP244" s="64">
        <f t="shared" si="48"/>
        <v>0</v>
      </c>
      <c r="AQ244" s="64">
        <f t="shared" si="48"/>
        <v>0</v>
      </c>
      <c r="AR244" s="64">
        <f t="shared" si="48"/>
        <v>0</v>
      </c>
      <c r="AS244" s="64">
        <f t="shared" si="48"/>
        <v>0</v>
      </c>
      <c r="AT244" s="64">
        <f t="shared" si="48"/>
        <v>0</v>
      </c>
      <c r="AU244" s="64">
        <f t="shared" si="48"/>
        <v>0</v>
      </c>
      <c r="AV244" s="64">
        <f t="shared" si="48"/>
        <v>0</v>
      </c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>
        <f>SUM(BG243:BG243)</f>
        <v>0</v>
      </c>
    </row>
    <row r="245" spans="1:59" x14ac:dyDescent="0.3">
      <c r="A245" s="11"/>
      <c r="B245" s="11"/>
      <c r="C245" s="156"/>
      <c r="D245" s="157"/>
      <c r="E245" s="12"/>
      <c r="F245" s="162"/>
      <c r="G245" s="162"/>
      <c r="H245" s="162"/>
      <c r="I245" s="159"/>
      <c r="J245" s="11"/>
      <c r="K245" s="49"/>
      <c r="L245" s="62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</row>
    <row r="246" spans="1:59" x14ac:dyDescent="0.3">
      <c r="A246" s="161"/>
      <c r="B246" s="11"/>
      <c r="C246" s="156"/>
      <c r="D246" s="157">
        <f t="shared" ref="D246:D261" si="49">+I246-E246</f>
        <v>0</v>
      </c>
      <c r="E246" s="12"/>
      <c r="F246" s="162"/>
      <c r="G246" s="162"/>
      <c r="H246" s="181"/>
      <c r="I246" s="159"/>
      <c r="J246" s="12"/>
      <c r="K246" s="49">
        <f t="shared" si="40"/>
        <v>0</v>
      </c>
      <c r="L246" s="62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</row>
    <row r="247" spans="1:59" x14ac:dyDescent="0.3">
      <c r="A247" s="161"/>
      <c r="B247" s="11"/>
      <c r="C247" s="156"/>
      <c r="D247" s="157">
        <f t="shared" si="49"/>
        <v>0</v>
      </c>
      <c r="E247" s="12"/>
      <c r="F247" s="162"/>
      <c r="G247" s="162"/>
      <c r="H247" s="181"/>
      <c r="I247" s="159"/>
      <c r="J247" s="12"/>
      <c r="K247" s="49">
        <f t="shared" si="40"/>
        <v>0</v>
      </c>
      <c r="L247" s="62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</row>
    <row r="248" spans="1:59" x14ac:dyDescent="0.3">
      <c r="A248" s="161"/>
      <c r="B248" s="11"/>
      <c r="C248" s="156"/>
      <c r="D248" s="157">
        <f t="shared" si="49"/>
        <v>0</v>
      </c>
      <c r="E248" s="12"/>
      <c r="F248" s="162"/>
      <c r="G248" s="162"/>
      <c r="H248" s="181"/>
      <c r="I248" s="159"/>
      <c r="J248" s="12"/>
      <c r="K248" s="49">
        <f t="shared" si="40"/>
        <v>0</v>
      </c>
      <c r="L248" s="62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</row>
    <row r="249" spans="1:59" x14ac:dyDescent="0.3">
      <c r="A249" s="161"/>
      <c r="B249" s="11"/>
      <c r="C249" s="156"/>
      <c r="D249" s="157">
        <f t="shared" si="49"/>
        <v>0</v>
      </c>
      <c r="E249" s="12"/>
      <c r="F249" s="162"/>
      <c r="G249" s="162"/>
      <c r="H249" s="181"/>
      <c r="I249" s="159"/>
      <c r="J249" s="12"/>
      <c r="K249" s="49">
        <f t="shared" si="40"/>
        <v>0</v>
      </c>
      <c r="L249" s="62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</row>
    <row r="250" spans="1:59" x14ac:dyDescent="0.3">
      <c r="A250" s="11"/>
      <c r="B250" s="11"/>
      <c r="C250" s="156"/>
      <c r="D250" s="157">
        <f>+I250-E250</f>
        <v>0</v>
      </c>
      <c r="E250" s="12"/>
      <c r="F250" s="162"/>
      <c r="G250" s="162"/>
      <c r="H250" s="181"/>
      <c r="I250" s="159"/>
      <c r="J250" s="12"/>
      <c r="K250" s="49">
        <f t="shared" si="40"/>
        <v>0</v>
      </c>
      <c r="L250" s="62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</row>
    <row r="251" spans="1:59" x14ac:dyDescent="0.3">
      <c r="A251" s="11"/>
      <c r="B251" s="11"/>
      <c r="C251" s="156"/>
      <c r="D251" s="157">
        <f t="shared" ref="D251:D255" si="50">+I251-E251</f>
        <v>0</v>
      </c>
      <c r="E251" s="12"/>
      <c r="F251" s="162"/>
      <c r="G251" s="162"/>
      <c r="H251" s="181"/>
      <c r="I251" s="159"/>
      <c r="J251" s="12"/>
      <c r="K251" s="49">
        <f t="shared" si="40"/>
        <v>0</v>
      </c>
      <c r="L251" s="62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</row>
    <row r="252" spans="1:59" x14ac:dyDescent="0.3">
      <c r="A252" s="11"/>
      <c r="B252" s="11"/>
      <c r="C252" s="156"/>
      <c r="D252" s="157">
        <f t="shared" si="50"/>
        <v>0</v>
      </c>
      <c r="E252" s="12"/>
      <c r="F252" s="162"/>
      <c r="G252" s="162"/>
      <c r="H252" s="181"/>
      <c r="I252" s="159"/>
      <c r="J252" s="12"/>
      <c r="K252" s="49">
        <f t="shared" ref="K252:K255" si="51">I252-J252</f>
        <v>0</v>
      </c>
      <c r="L252" s="62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</row>
    <row r="253" spans="1:59" x14ac:dyDescent="0.3">
      <c r="A253" s="11"/>
      <c r="B253" s="11"/>
      <c r="C253" s="156"/>
      <c r="D253" s="157">
        <f t="shared" si="50"/>
        <v>0</v>
      </c>
      <c r="E253" s="12"/>
      <c r="F253" s="162"/>
      <c r="G253" s="162"/>
      <c r="H253" s="181"/>
      <c r="I253" s="159"/>
      <c r="J253" s="12"/>
      <c r="K253" s="49">
        <f t="shared" si="51"/>
        <v>0</v>
      </c>
      <c r="L253" s="62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</row>
    <row r="254" spans="1:59" x14ac:dyDescent="0.3">
      <c r="A254" s="11"/>
      <c r="B254" s="12"/>
      <c r="C254" s="156"/>
      <c r="D254" s="157">
        <f t="shared" si="50"/>
        <v>0</v>
      </c>
      <c r="E254" s="12"/>
      <c r="F254" s="162"/>
      <c r="G254" s="162"/>
      <c r="H254" s="181"/>
      <c r="I254" s="159"/>
      <c r="J254" s="12"/>
      <c r="K254" s="49">
        <f t="shared" si="51"/>
        <v>0</v>
      </c>
      <c r="L254" s="62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</row>
    <row r="255" spans="1:59" x14ac:dyDescent="0.3">
      <c r="A255" s="11"/>
      <c r="B255" s="11"/>
      <c r="C255" s="156"/>
      <c r="D255" s="157">
        <f t="shared" si="50"/>
        <v>0</v>
      </c>
      <c r="E255" s="12"/>
      <c r="F255" s="162"/>
      <c r="G255" s="162"/>
      <c r="H255" s="181"/>
      <c r="I255" s="159"/>
      <c r="J255" s="12"/>
      <c r="K255" s="49">
        <f t="shared" si="51"/>
        <v>0</v>
      </c>
      <c r="L255" s="62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</row>
    <row r="256" spans="1:59" x14ac:dyDescent="0.3">
      <c r="A256" s="11"/>
      <c r="B256" s="11"/>
      <c r="C256" s="156"/>
      <c r="D256" s="157"/>
      <c r="E256" s="12"/>
      <c r="F256" s="162"/>
      <c r="G256" s="162"/>
      <c r="H256" s="162"/>
      <c r="I256" s="159"/>
      <c r="J256" s="11"/>
      <c r="K256" s="49"/>
      <c r="L256" s="62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</row>
    <row r="257" spans="1:59" x14ac:dyDescent="0.3">
      <c r="A257" s="11"/>
      <c r="B257" s="11"/>
      <c r="C257" s="156"/>
      <c r="D257" s="157"/>
      <c r="E257" s="12"/>
      <c r="F257" s="162"/>
      <c r="G257" s="162"/>
      <c r="H257" s="162"/>
      <c r="I257" s="159"/>
      <c r="J257" s="11"/>
      <c r="K257" s="49"/>
      <c r="L257" s="62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</row>
    <row r="258" spans="1:59" x14ac:dyDescent="0.3">
      <c r="A258" s="11"/>
      <c r="B258" s="11"/>
      <c r="C258" s="156"/>
      <c r="D258" s="157"/>
      <c r="E258" s="12"/>
      <c r="F258" s="162"/>
      <c r="G258" s="162"/>
      <c r="H258" s="162"/>
      <c r="I258" s="159"/>
      <c r="J258" s="11"/>
      <c r="K258" s="49"/>
      <c r="L258" s="62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</row>
    <row r="259" spans="1:59" x14ac:dyDescent="0.3">
      <c r="A259" s="11"/>
      <c r="B259" s="11"/>
      <c r="C259" s="156"/>
      <c r="D259" s="157"/>
      <c r="E259" s="12"/>
      <c r="F259" s="162"/>
      <c r="G259" s="162"/>
      <c r="H259" s="162"/>
      <c r="I259" s="159"/>
      <c r="J259" s="11"/>
      <c r="K259" s="49"/>
      <c r="L259" s="62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</row>
    <row r="260" spans="1:59" x14ac:dyDescent="0.3">
      <c r="A260" s="11"/>
      <c r="B260" s="11"/>
      <c r="C260" s="156"/>
      <c r="D260" s="157">
        <f t="shared" si="49"/>
        <v>0</v>
      </c>
      <c r="E260" s="12"/>
      <c r="F260" s="162"/>
      <c r="G260" s="162"/>
      <c r="H260" s="162"/>
      <c r="I260" s="159"/>
      <c r="J260" s="11"/>
      <c r="K260" s="49">
        <f t="shared" ref="K260" si="52">I260-J260</f>
        <v>0</v>
      </c>
      <c r="L260" s="62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</row>
    <row r="261" spans="1:59" x14ac:dyDescent="0.3">
      <c r="A261" s="11"/>
      <c r="B261" s="174"/>
      <c r="C261" s="178"/>
      <c r="D261" s="157">
        <f t="shared" si="49"/>
        <v>0</v>
      </c>
      <c r="E261" s="12"/>
      <c r="F261" s="162"/>
      <c r="G261" s="162"/>
      <c r="H261" s="162"/>
      <c r="I261" s="159"/>
      <c r="J261" s="11"/>
      <c r="K261" s="49">
        <f>I261-J261</f>
        <v>0</v>
      </c>
      <c r="L261" s="62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>
        <f>+AP261+AN261+AM261+AL261+AK261+AJ261+AI261+AH261+AG261+AF261+AE261+AD261+AC261+AB261+AA261+Z261+Y261+X261+W261+V261+U261+T261+S261+R261+Q261+P261+O261+N261+M261</f>
        <v>0</v>
      </c>
    </row>
    <row r="262" spans="1:59" ht="18" x14ac:dyDescent="0.35">
      <c r="A262" s="11"/>
      <c r="B262" s="167" t="s">
        <v>191</v>
      </c>
      <c r="C262" s="168"/>
      <c r="D262" s="48">
        <f>SUM(D246:D261)</f>
        <v>0</v>
      </c>
      <c r="E262" s="47"/>
      <c r="F262" s="48">
        <f t="shared" ref="F262:I262" si="53">SUM(F246:F261)</f>
        <v>0</v>
      </c>
      <c r="G262" s="48">
        <f t="shared" si="53"/>
        <v>0</v>
      </c>
      <c r="H262" s="48">
        <f t="shared" si="53"/>
        <v>0</v>
      </c>
      <c r="I262" s="48">
        <f t="shared" si="53"/>
        <v>0</v>
      </c>
      <c r="J262" s="48">
        <f>SUM(J245:J261)</f>
        <v>0</v>
      </c>
      <c r="K262" s="48">
        <f>I262-J262</f>
        <v>0</v>
      </c>
      <c r="L262" s="177"/>
      <c r="M262" s="48">
        <f t="shared" ref="M262:AV262" si="54">SUM(M261:M261)</f>
        <v>0</v>
      </c>
      <c r="N262" s="48">
        <f t="shared" si="54"/>
        <v>0</v>
      </c>
      <c r="O262" s="48">
        <f t="shared" si="54"/>
        <v>0</v>
      </c>
      <c r="P262" s="48">
        <f t="shared" si="54"/>
        <v>0</v>
      </c>
      <c r="Q262" s="48">
        <f t="shared" si="54"/>
        <v>0</v>
      </c>
      <c r="R262" s="48">
        <f t="shared" si="54"/>
        <v>0</v>
      </c>
      <c r="S262" s="48">
        <f t="shared" si="54"/>
        <v>0</v>
      </c>
      <c r="T262" s="48">
        <f t="shared" si="54"/>
        <v>0</v>
      </c>
      <c r="U262" s="48">
        <f t="shared" si="54"/>
        <v>0</v>
      </c>
      <c r="V262" s="48">
        <f t="shared" si="54"/>
        <v>0</v>
      </c>
      <c r="W262" s="48">
        <f t="shared" si="54"/>
        <v>0</v>
      </c>
      <c r="X262" s="48">
        <f t="shared" si="54"/>
        <v>0</v>
      </c>
      <c r="Y262" s="48">
        <f t="shared" si="54"/>
        <v>0</v>
      </c>
      <c r="Z262" s="48">
        <f t="shared" si="54"/>
        <v>0</v>
      </c>
      <c r="AA262" s="48">
        <f t="shared" si="54"/>
        <v>0</v>
      </c>
      <c r="AB262" s="48">
        <f t="shared" si="54"/>
        <v>0</v>
      </c>
      <c r="AC262" s="48">
        <f t="shared" si="54"/>
        <v>0</v>
      </c>
      <c r="AD262" s="48">
        <f t="shared" si="54"/>
        <v>0</v>
      </c>
      <c r="AE262" s="48">
        <f t="shared" si="54"/>
        <v>0</v>
      </c>
      <c r="AF262" s="48">
        <f t="shared" si="54"/>
        <v>0</v>
      </c>
      <c r="AG262" s="48">
        <f t="shared" si="54"/>
        <v>0</v>
      </c>
      <c r="AH262" s="48">
        <f t="shared" si="54"/>
        <v>0</v>
      </c>
      <c r="AI262" s="48">
        <f t="shared" si="54"/>
        <v>0</v>
      </c>
      <c r="AJ262" s="48">
        <f t="shared" si="54"/>
        <v>0</v>
      </c>
      <c r="AK262" s="48">
        <f t="shared" si="54"/>
        <v>0</v>
      </c>
      <c r="AL262" s="48">
        <f t="shared" si="54"/>
        <v>0</v>
      </c>
      <c r="AM262" s="48">
        <f t="shared" si="54"/>
        <v>0</v>
      </c>
      <c r="AN262" s="48">
        <f t="shared" si="54"/>
        <v>0</v>
      </c>
      <c r="AO262" s="48">
        <f t="shared" si="54"/>
        <v>0</v>
      </c>
      <c r="AP262" s="48">
        <f t="shared" si="54"/>
        <v>0</v>
      </c>
      <c r="AQ262" s="48">
        <f t="shared" si="54"/>
        <v>0</v>
      </c>
      <c r="AR262" s="48">
        <f t="shared" si="54"/>
        <v>0</v>
      </c>
      <c r="AS262" s="48">
        <f t="shared" si="54"/>
        <v>0</v>
      </c>
      <c r="AT262" s="48">
        <f t="shared" si="54"/>
        <v>0</v>
      </c>
      <c r="AU262" s="48">
        <f t="shared" si="54"/>
        <v>0</v>
      </c>
      <c r="AV262" s="48">
        <f t="shared" si="54"/>
        <v>0</v>
      </c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>
        <f>SUM(BG261:BG261)</f>
        <v>0</v>
      </c>
    </row>
    <row r="263" spans="1:59" ht="18" x14ac:dyDescent="0.35">
      <c r="A263" s="11"/>
      <c r="B263" s="11"/>
      <c r="C263" s="156"/>
      <c r="D263" s="157">
        <f t="shared" ref="D263:I263" si="55">+D39+D63+D89+D112+D131+D153+D170+D186+D209+D222+D244+D262</f>
        <v>169614.18</v>
      </c>
      <c r="E263" s="157">
        <f t="shared" si="55"/>
        <v>0</v>
      </c>
      <c r="F263" s="179">
        <f t="shared" si="55"/>
        <v>0</v>
      </c>
      <c r="G263" s="179">
        <f t="shared" si="55"/>
        <v>81226.099999999991</v>
      </c>
      <c r="H263" s="179">
        <f t="shared" si="55"/>
        <v>86669.080000000016</v>
      </c>
      <c r="I263" s="157">
        <f t="shared" si="55"/>
        <v>169614.18</v>
      </c>
      <c r="J263" s="49">
        <f>J262+J244+J222+J209+J186+J153+J131+J170+J112+J89+J63+J39</f>
        <v>18449.999999999996</v>
      </c>
      <c r="K263" s="49">
        <f>I263-J263</f>
        <v>151164.18</v>
      </c>
      <c r="L263" s="177"/>
      <c r="M263" s="157">
        <f t="shared" ref="M263:AV263" si="56">+M39+M63+M89+M112+M131+M153+M170+M186+M209+M222+M244+M262</f>
        <v>0</v>
      </c>
      <c r="N263" s="157">
        <f t="shared" si="56"/>
        <v>0</v>
      </c>
      <c r="O263" s="157">
        <f t="shared" si="56"/>
        <v>0</v>
      </c>
      <c r="P263" s="157">
        <f t="shared" si="56"/>
        <v>0</v>
      </c>
      <c r="Q263" s="157">
        <f t="shared" si="56"/>
        <v>0</v>
      </c>
      <c r="R263" s="157">
        <f t="shared" si="56"/>
        <v>0</v>
      </c>
      <c r="S263" s="157">
        <f t="shared" si="56"/>
        <v>0</v>
      </c>
      <c r="T263" s="157">
        <f t="shared" si="56"/>
        <v>0</v>
      </c>
      <c r="U263" s="157">
        <f t="shared" si="56"/>
        <v>0</v>
      </c>
      <c r="V263" s="157">
        <f t="shared" si="56"/>
        <v>0</v>
      </c>
      <c r="W263" s="157">
        <f t="shared" si="56"/>
        <v>0</v>
      </c>
      <c r="X263" s="157">
        <f t="shared" si="56"/>
        <v>0</v>
      </c>
      <c r="Y263" s="157">
        <f t="shared" si="56"/>
        <v>0</v>
      </c>
      <c r="Z263" s="157">
        <f t="shared" si="56"/>
        <v>0</v>
      </c>
      <c r="AA263" s="157">
        <f t="shared" si="56"/>
        <v>0</v>
      </c>
      <c r="AB263" s="157">
        <f t="shared" si="56"/>
        <v>0</v>
      </c>
      <c r="AC263" s="157">
        <f t="shared" si="56"/>
        <v>0</v>
      </c>
      <c r="AD263" s="157">
        <f t="shared" si="56"/>
        <v>0</v>
      </c>
      <c r="AE263" s="157">
        <f t="shared" si="56"/>
        <v>0</v>
      </c>
      <c r="AF263" s="157">
        <f t="shared" si="56"/>
        <v>0</v>
      </c>
      <c r="AG263" s="157">
        <f t="shared" si="56"/>
        <v>0</v>
      </c>
      <c r="AH263" s="157">
        <f t="shared" si="56"/>
        <v>0</v>
      </c>
      <c r="AI263" s="157">
        <f t="shared" si="56"/>
        <v>0</v>
      </c>
      <c r="AJ263" s="157">
        <f t="shared" si="56"/>
        <v>0</v>
      </c>
      <c r="AK263" s="157">
        <f t="shared" si="56"/>
        <v>0</v>
      </c>
      <c r="AL263" s="157">
        <f t="shared" si="56"/>
        <v>0</v>
      </c>
      <c r="AM263" s="157">
        <f t="shared" si="56"/>
        <v>0</v>
      </c>
      <c r="AN263" s="157">
        <f t="shared" si="56"/>
        <v>0</v>
      </c>
      <c r="AO263" s="157">
        <f t="shared" si="56"/>
        <v>0</v>
      </c>
      <c r="AP263" s="157">
        <f t="shared" si="56"/>
        <v>0</v>
      </c>
      <c r="AQ263" s="157">
        <f t="shared" si="56"/>
        <v>0</v>
      </c>
      <c r="AR263" s="157">
        <f t="shared" si="56"/>
        <v>0</v>
      </c>
      <c r="AS263" s="157">
        <f t="shared" si="56"/>
        <v>0</v>
      </c>
      <c r="AT263" s="157">
        <f t="shared" si="56"/>
        <v>0</v>
      </c>
      <c r="AU263" s="157">
        <f t="shared" si="56"/>
        <v>0</v>
      </c>
      <c r="AV263" s="157">
        <f t="shared" si="56"/>
        <v>0</v>
      </c>
      <c r="AW263" s="157"/>
      <c r="AX263" s="157"/>
      <c r="AY263" s="157"/>
      <c r="AZ263" s="157"/>
      <c r="BA263" s="157"/>
      <c r="BB263" s="157"/>
      <c r="BC263" s="157"/>
      <c r="BD263" s="157"/>
      <c r="BE263" s="157"/>
      <c r="BF263" s="157"/>
      <c r="BG263" s="157">
        <f>+BG39+BG63+BG89+BG112+BG131+BG153+BG170+BG186+BG209+BG222+BG244+BG262</f>
        <v>0</v>
      </c>
    </row>
  </sheetData>
  <mergeCells count="3">
    <mergeCell ref="I4:I5"/>
    <mergeCell ref="J4:J5"/>
    <mergeCell ref="K4:K5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RESUME</vt:lpstr>
      <vt:lpstr>SUIVI TVA</vt:lpstr>
      <vt:lpstr>FACTURES NORMALISEES</vt:lpstr>
      <vt:lpstr>FACTURES SN</vt:lpstr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Willy Muaka</cp:lastModifiedBy>
  <cp:lastPrinted>2023-12-05T10:54:24Z</cp:lastPrinted>
  <dcterms:created xsi:type="dcterms:W3CDTF">2019-06-04T08:21:06Z</dcterms:created>
  <dcterms:modified xsi:type="dcterms:W3CDTF">2026-06-15T15:07:11Z</dcterms:modified>
</cp:coreProperties>
</file>